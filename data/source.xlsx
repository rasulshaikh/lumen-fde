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Plan" sheetId="2" r:id="rId6"/>
    <sheet state="visible" name="Mocks" sheetId="3" r:id="rId7"/>
    <sheet state="visible" name="Roadmaps" sheetId="4" r:id="rId8"/>
    <sheet state="visible" name="CompReality" sheetId="5" r:id="rId9"/>
  </sheets>
  <definedNames>
    <definedName hidden="1" localSheetId="1" name="_xlnm._FilterDatabase">Plan!$A$1:$Q$82</definedName>
  </definedNames>
  <calcPr/>
</workbook>
</file>

<file path=xl/sharedStrings.xml><?xml version="1.0" encoding="utf-8"?>
<sst xmlns="http://schemas.openxmlformats.org/spreadsheetml/2006/main" count="1326" uniqueCount="838">
  <si>
    <t>Track</t>
  </si>
  <si>
    <t>Senior FDE Master Plan: 600 hours, 9 months</t>
  </si>
  <si>
    <t>Mock type</t>
  </si>
  <si>
    <t>Month</t>
  </si>
  <si>
    <t>Topic</t>
  </si>
  <si>
    <t>Depth target (what mastery looks like)</t>
  </si>
  <si>
    <t>Target count</t>
  </si>
  <si>
    <t>Read</t>
  </si>
  <si>
    <t>Hours each</t>
  </si>
  <si>
    <t>Read URL</t>
  </si>
  <si>
    <t>Read cost</t>
  </si>
  <si>
    <t>Watch</t>
  </si>
  <si>
    <t>Where / how</t>
  </si>
  <si>
    <t>Watch URL</t>
  </si>
  <si>
    <t>Pass bar</t>
  </si>
  <si>
    <t>Watch cost</t>
  </si>
  <si>
    <t>Done so far</t>
  </si>
  <si>
    <t>Do (lab / game / build)</t>
  </si>
  <si>
    <t>Remaining</t>
  </si>
  <si>
    <t>Do URL</t>
  </si>
  <si>
    <t>Do cost</t>
  </si>
  <si>
    <t>Hours remaining</t>
  </si>
  <si>
    <t>Hours</t>
  </si>
  <si>
    <t>Deliverable</t>
  </si>
  <si>
    <t>Status</t>
  </si>
  <si>
    <t>Notes</t>
  </si>
  <si>
    <t>A. Linux, Networking, Shell</t>
  </si>
  <si>
    <t>Recruiter-screen narrative recordings</t>
  </si>
  <si>
    <t>Shell mastery and scripting</t>
  </si>
  <si>
    <t>Twelve tracks, three vetted resources per topic (read, watch, do), every Scaler module covered plus the production and interview layers Scaler does not teach. Edit only yellow cells and the two blue inputs.</t>
  </si>
  <si>
    <t>Write a 200-line bash tool with set -euo pipefail, traps, getopts, logging and tests, without looking anything up</t>
  </si>
  <si>
    <t>The Linux Command Line (William Shotts)</t>
  </si>
  <si>
    <t>Roadmap or guide</t>
  </si>
  <si>
    <t>Self-recorded; review against the Aced guide</t>
  </si>
  <si>
    <t>Both 60-second answers land without hedging</t>
  </si>
  <si>
    <t>https://linuxcommand.org/tlcl.php</t>
  </si>
  <si>
    <t>Inputs</t>
  </si>
  <si>
    <t>URL</t>
  </si>
  <si>
    <t>How to use it</t>
  </si>
  <si>
    <t>Weekly hours you will actually commit</t>
  </si>
  <si>
    <t>roadmap.sh: DevOps</t>
  </si>
  <si>
    <t>https://roadmap.sh/devops</t>
  </si>
  <si>
    <t>Current month (1-9)</t>
  </si>
  <si>
    <t>Overall</t>
  </si>
  <si>
    <t>Topics in plan</t>
  </si>
  <si>
    <t>Technical screen (resume defence)</t>
  </si>
  <si>
    <t>Peer mock on Exponent (free) or an ex-colleague</t>
  </si>
  <si>
    <t>Every bullet has a what-broke story</t>
  </si>
  <si>
    <t>Skipped (optional deep dives)</t>
  </si>
  <si>
    <t>Take-home builds (5h each, with video walkthrough)</t>
  </si>
  <si>
    <t>Self-run on the clock; one reviewed by a senior engineer you trust</t>
  </si>
  <si>
    <t>Documented 70% shipped, tests pass, video under 10 minutes</t>
  </si>
  <si>
    <t>Done</t>
  </si>
  <si>
    <t>Decomposition / case study drills</t>
  </si>
  <si>
    <t>Self-run from industry prompts; two with a peer playing the client</t>
  </si>
  <si>
    <t>Clarifying questions first, sized plan, one trade-off defended</t>
  </si>
  <si>
    <t>In progress</t>
  </si>
  <si>
    <t>System design mocks (general)</t>
  </si>
  <si>
    <t>Exponent peer mocks (free)</t>
  </si>
  <si>
    <t>4/5 on the Hello Interview rubric three times running</t>
  </si>
  <si>
    <t>Progress (done / not skipped)</t>
  </si>
  <si>
    <t>System design mocks (LLM-focused)</t>
  </si>
  <si>
    <t>Exponent peer mocks; one with an FDE you find on LinkedIn</t>
  </si>
  <si>
    <t>Latency, cost, evals and fallbacks all covered unprompted</t>
  </si>
  <si>
    <t>Hours planned (excluding skipped)</t>
  </si>
  <si>
    <t>Coding drills (data manipulation, AI-assisted build)</t>
  </si>
  <si>
    <t>Timed on your own exports; narrate on video</t>
  </si>
  <si>
    <t>No silence; correct result in under 30 minutes</t>
  </si>
  <si>
    <t>Client simulations (hostile CFO, confused ops lead)</t>
  </si>
  <si>
    <t>Hours done</t>
  </si>
  <si>
    <t>Friends or ex-colleagues in role; record</t>
  </si>
  <si>
    <t>Zero promises you could not keep</t>
  </si>
  <si>
    <t>Learning interviews (learn then apply in 20 min)</t>
  </si>
  <si>
    <t>Pick an unfamiliar doc page; record</t>
  </si>
  <si>
    <t>Working example in 20 minutes</t>
  </si>
  <si>
    <t>Behavioural (STAR) sessions</t>
  </si>
  <si>
    <t>Self-check for tracks A-D; tick what you can do, not what you have read about</t>
  </si>
  <si>
    <t>Peer or self-recorded</t>
  </si>
  <si>
    <t>Weeks remaining at your weekly hours</t>
  </si>
  <si>
    <t>Each story under two minutes with a measurable outcome</t>
  </si>
  <si>
    <t>roadmap.sh: Backend</t>
  </si>
  <si>
    <t>https://roadmap.sh/backend</t>
  </si>
  <si>
    <t>Full-loop simulations</t>
  </si>
  <si>
    <t>interviewing.io (paid, optional) or a two-person peer panel</t>
  </si>
  <si>
    <t>Debrief written; weakest round identified and re-drilled</t>
  </si>
  <si>
    <t>Free</t>
  </si>
  <si>
    <t>Months remaining at your weekly hours</t>
  </si>
  <si>
    <t>MIT The Missing Semester (lectures 1-5, 7)</t>
  </si>
  <si>
    <t>https://missing.csail.mit.edu/</t>
  </si>
  <si>
    <t>Self-check for track E</t>
  </si>
  <si>
    <t>Total</t>
  </si>
  <si>
    <t>roadmap.sh: AI Engineer</t>
  </si>
  <si>
    <t>https://roadmap.sh/ai-engineer</t>
  </si>
  <si>
    <t>Topics scheduled for the current month</t>
  </si>
  <si>
    <t>Self-check for tracks G-H</t>
  </si>
  <si>
    <t>roadmap.sh: AI Agents</t>
  </si>
  <si>
    <t>https://roadmap.sh/ai-agents</t>
  </si>
  <si>
    <t>Hours scheduled for the current month</t>
  </si>
  <si>
    <t>Edit only 'Done so far'. Mock hours are already inside the Plan hours for track K; this sheet tracks counts.</t>
  </si>
  <si>
    <t>Mocks done / target</t>
  </si>
  <si>
    <t>OverTheWire Bandit (levels 0-33)</t>
  </si>
  <si>
    <t>https://overthewire.org/wargames/bandit/</t>
  </si>
  <si>
    <t>Agent patterns checklist</t>
  </si>
  <si>
    <t>By track</t>
  </si>
  <si>
    <t>roadmap.sh: System Design</t>
  </si>
  <si>
    <t>https://roadmap.sh/system-design</t>
  </si>
  <si>
    <t>One research script rewritten as a hardened CLI with logs and a test</t>
  </si>
  <si>
    <t>Topics</t>
  </si>
  <si>
    <t>Skipped</t>
  </si>
  <si>
    <t>Progress</t>
  </si>
  <si>
    <t>Hours planned</t>
  </si>
  <si>
    <t>Hours left</t>
  </si>
  <si>
    <t>Self-check for track F</t>
  </si>
  <si>
    <t>Not started</t>
  </si>
  <si>
    <t>roadmap.sh: MLOps</t>
  </si>
  <si>
    <t>https://roadmap.sh/mlops</t>
  </si>
  <si>
    <t>Serving, monitoring, registries checklist</t>
  </si>
  <si>
    <t>Aced (Exponent): FDE interview definitive 2026 guide</t>
  </si>
  <si>
    <t>https://www.tryexponent.com/blog/forward-deployed-engineer-interview-the-definitive-2026-guide-fde</t>
  </si>
  <si>
    <t>Linux internals: processes, systemd, permissions, filesystems, packaging</t>
  </si>
  <si>
    <t>Explain what happens from boot to a systemd service serving traffic; diagnose a stuck process from /proc</t>
  </si>
  <si>
    <t>Linux Journey (all of Grasshopper and Journeyman)</t>
  </si>
  <si>
    <t>https://linuxjourney.com/</t>
  </si>
  <si>
    <t>Loop by company, 50+ questions, 6-week prep plan</t>
  </si>
  <si>
    <t>freeCodeCamp: Linux Server Course, System Configuration and Operation</t>
  </si>
  <si>
    <t>https://www.youtube.com/@freecodecamp</t>
  </si>
  <si>
    <t>Aced: OpenAI, Databricks, Cognition FDE guides</t>
  </si>
  <si>
    <t>https://www.tryexponent.com/guides/openai-forward-deployed-engineer-interview</t>
  </si>
  <si>
    <t>SadServers (scenarios, easy to medium)</t>
  </si>
  <si>
    <t>https://sadservers.com/</t>
  </si>
  <si>
    <t>Company-specific loops</t>
  </si>
  <si>
    <t>Hardened Hetzner VPS with a systemd-managed Python service and a written boot-to-service explanation</t>
  </si>
  <si>
    <t>The FDE interview has six rounds (Medium, Jul 2026)</t>
  </si>
  <si>
    <t>Networking: TCP/IP, DNS, TLS, HTTP/2, load balancers, firewalls</t>
  </si>
  <si>
    <t>Trace a request from DNS to TLS handshake to response and name every hop; debug a failed webhook with tcpdump</t>
  </si>
  <si>
    <t>https://medium.com/@shivanathd/the-forward-deployed-engineer-interview-has-six-rounds-365df0544e2c</t>
  </si>
  <si>
    <t>High Performance Browser Networking (ch 1-4, 12-13)</t>
  </si>
  <si>
    <t>https://hpbn.co/</t>
  </si>
  <si>
    <t>B. Containers and Kubernetes</t>
  </si>
  <si>
    <t>Hussein Nasser: networking and backend fundamentals playlists</t>
  </si>
  <si>
    <t>https://www.youtube.com/@hnasr</t>
  </si>
  <si>
    <t>What each round scores</t>
  </si>
  <si>
    <t>fde.academy: FDE job descriptions explained</t>
  </si>
  <si>
    <t>https://fde.academy/blog/forward-deployed-engineer-job-description</t>
  </si>
  <si>
    <t>Protohackers (network programming challenges)</t>
  </si>
  <si>
    <t>https://protohackers.com/</t>
  </si>
  <si>
    <t>Three Protohackers problems solved in Python; one written webhook post-mortem using dig, curl -v, ss, tcpdump</t>
  </si>
  <si>
    <t>Performance and troubleshooting on a single box</t>
  </si>
  <si>
    <t>How to read a JD and spot a real FDE role</t>
  </si>
  <si>
    <t>Use the USE method; read top, vmstat, iostat, strace and perf output and say what is wrong</t>
  </si>
  <si>
    <t>Brendan Gregg: Linux Performance page and USE method</t>
  </si>
  <si>
    <t>https://www.brendangregg.com/linuxperf.html</t>
  </si>
  <si>
    <t>Scaler AI FDE detailed curriculum (map only)</t>
  </si>
  <si>
    <t>C. Cloud and IaC</t>
  </si>
  <si>
    <t>https://www.scaler.com/scaler-ai-forward-deployed-engineer-detailed-curriculum</t>
  </si>
  <si>
    <t>Brendan Gregg: Linux Performance Tools (talk)</t>
  </si>
  <si>
    <t>https://www.youtube.com/results?search_query=brendan+gregg+linux+performance+tools</t>
  </si>
  <si>
    <t>Used as a topic map; every module is covered in this plan</t>
  </si>
  <si>
    <t>OneGTMLab FDE Skills Matrix (your upload)</t>
  </si>
  <si>
    <t>Ratings used to weight tracks J and K</t>
  </si>
  <si>
    <t>Palantir blog</t>
  </si>
  <si>
    <t>https://blog.palantir.com/</t>
  </si>
  <si>
    <t>SadServers (hard scenarios)</t>
  </si>
  <si>
    <t>Five hard SadServers scenarios solved with notes on the tool that found each cause</t>
  </si>
  <si>
    <t>Git at depth: rebase, bisect, reflog, hooks, monorepo hygiene</t>
  </si>
  <si>
    <t>Recover a lost commit, bisect a regression, rewrite history safely</t>
  </si>
  <si>
    <t>Pro Git (ch 1-3, 7)</t>
  </si>
  <si>
    <t>https://git-scm.com/book/en/v2</t>
  </si>
  <si>
    <t>FDE culture, day-in-the-life posts</t>
  </si>
  <si>
    <t>Google SRE resources</t>
  </si>
  <si>
    <t>https://sre.google/</t>
  </si>
  <si>
    <t>D. Reliability and Observability</t>
  </si>
  <si>
    <t>Missing Semester: Version Control (git) lecture</t>
  </si>
  <si>
    <t>https://missing.csail.mit.edu/2020/version-control/</t>
  </si>
  <si>
    <t>Reliability canon</t>
  </si>
  <si>
    <t>Hugging Face Learn</t>
  </si>
  <si>
    <t>https://huggingface.co/learn</t>
  </si>
  <si>
    <t>Learn Git Branching (all levels)</t>
  </si>
  <si>
    <t>https://learngitbranching.js.org/</t>
  </si>
  <si>
    <t>LLM, agents, and fine-tuning courses</t>
  </si>
  <si>
    <t>DeepLearning.AI short courses</t>
  </si>
  <si>
    <t>https://www.deeplearning.ai/short-courses/</t>
  </si>
  <si>
    <t>E. Backend and Data</t>
  </si>
  <si>
    <t>All Learn Git Branching levels done; a pre-commit hook running lint and tests on Dokeo</t>
  </si>
  <si>
    <t>Docker internals: namespaces, cgroups, layers, networking</t>
  </si>
  <si>
    <t>Explain a container without the word 'lightweight VM'; draw the layer cache; debug a bridge network issue</t>
  </si>
  <si>
    <t>Docker docs: Get started and Engine concepts</t>
  </si>
  <si>
    <t>https://docs.docker.com/get-started/</t>
  </si>
  <si>
    <t>One-hour courses on RAG, evals, agents, APIs</t>
  </si>
  <si>
    <t>TechWorld with Nana: Docker Tutorial for Beginners (full course)</t>
  </si>
  <si>
    <t>https://www.youtube.com/@TechWorldwithNana</t>
  </si>
  <si>
    <t>Play with Docker</t>
  </si>
  <si>
    <t>https://labs.play-with-docker.com/</t>
  </si>
  <si>
    <t>F. Distributed Systems and System Design</t>
  </si>
  <si>
    <t>One page explaining containers to a client CTO; a Compose stack for Dokeo with healthchecks</t>
  </si>
  <si>
    <t>Production images and supply chain: multi-stage, non-root, SBOM, scanning, signing</t>
  </si>
  <si>
    <t>Ship an image under 200 MB, non-root, zero HIGH CVEs, with an SBOM</t>
  </si>
  <si>
    <t>Docker: Building best practices</t>
  </si>
  <si>
    <t>https://docs.docker.com/build/building/best-practices/</t>
  </si>
  <si>
    <t>Bret Fisher (Docker Captain) channel: image best practices</t>
  </si>
  <si>
    <t>https://www.youtube.com/@BretFisher</t>
  </si>
  <si>
    <t>G. AI Engineering</t>
  </si>
  <si>
    <t>Trivy (scan, SBOM) on your own images</t>
  </si>
  <si>
    <t>https://trivy.dev/</t>
  </si>
  <si>
    <t>H. AI in Production</t>
  </si>
  <si>
    <t>Dokeo and DefenderMate images hardened; Trivy gate in CI</t>
  </si>
  <si>
    <t>Kubernetes core: Pod, Deployment, Service, Ingress, ConfigMap, Secret, namespaces</t>
  </si>
  <si>
    <t>Draw the object model from memory; explain how a request reaches a Pod through Ingress and Service</t>
  </si>
  <si>
    <t>Kubernetes docs: Concepts</t>
  </si>
  <si>
    <t>https://kubernetes.io/docs/concepts/</t>
  </si>
  <si>
    <t>I. Security and Compliance</t>
  </si>
  <si>
    <t>TechWorld with Nana: Kubernetes Tutorial for Beginners (full course)</t>
  </si>
  <si>
    <t>Killercoda Kubernetes scenarios</t>
  </si>
  <si>
    <t>https://killercoda.com/</t>
  </si>
  <si>
    <t>Dokeo on k3s (Hetzner) with Ingress, TLS, ConfigMap, Secret</t>
  </si>
  <si>
    <t>Kubernetes production ops: probes, HPA, requests and limits, storage, RBAC, NetworkPolicy, debugging</t>
  </si>
  <si>
    <t>Fix 'the pod won't start' in under ten minutes from describe, logs and events; roll back safely</t>
  </si>
  <si>
    <t>Linux Foundation LFS158: Introduction to Kubernetes</t>
  </si>
  <si>
    <t>https://training.linuxfoundation.org/training/introduction-to-kubernetes/</t>
  </si>
  <si>
    <t>J. FDE Craft and Communication</t>
  </si>
  <si>
    <t>KodeKloud channel: CKA and troubleshooting videos</t>
  </si>
  <si>
    <t>https://www.youtube.com/@KodeKloud</t>
  </si>
  <si>
    <t>K. Interview Loop and Mocks</t>
  </si>
  <si>
    <t>Killercoda CKA scenarios</t>
  </si>
  <si>
    <t>Namespace per client, RBAC read-only role, NetworkPolicy isolating the DB, HPA, rollback drill recorded</t>
  </si>
  <si>
    <t>GitOps: Helm charts and ArgoCD</t>
  </si>
  <si>
    <t>A push to main updates the cluster; a bad change rolls back from Git</t>
  </si>
  <si>
    <t>ArgoCD docs: Getting started; Helm docs</t>
  </si>
  <si>
    <t>https://argo-cd.readthedocs.io/en/stable/getting_started/</t>
  </si>
  <si>
    <t>L. Portfolio, Positioning, Pipeline</t>
  </si>
  <si>
    <t>TechWorld with Nana: ArgoCD and GitOps videos</t>
  </si>
  <si>
    <t>Deploy Dokeo via ArgoCD with your own Helm chart</t>
  </si>
  <si>
    <t>https://helm.sh/docs/</t>
  </si>
  <si>
    <t>Helm chart and ArgoCD app in a public repo</t>
  </si>
  <si>
    <t>Kubernetes security: Pod Security, RBAC, secrets, image policy, runtime</t>
  </si>
  <si>
    <t>Pass a Kubernetes Goat walkthrough and explain each finding to a client</t>
  </si>
  <si>
    <t>Kubernetes docs: Security + EKS Best Practices Guide (security)</t>
  </si>
  <si>
    <t>https://aws.github.io/aws-eks-best-practices/</t>
  </si>
  <si>
    <t>CNCF channel: KubeCon security talks</t>
  </si>
  <si>
    <t>https://www.youtube.com/@cncf</t>
  </si>
  <si>
    <t>Kubernetes Goat (security playground)</t>
  </si>
  <si>
    <t>https://madhuakula.com/kubernetes-goat/</t>
  </si>
  <si>
    <t>By month (hours planned, excluding skipped; weeks needed at your pace)</t>
  </si>
  <si>
    <t>Weeks at your pace</t>
  </si>
  <si>
    <t>Over 4.33 weeks?</t>
  </si>
  <si>
    <t>Kubernetes Goat completed; a hardening checklist you'd hand a client</t>
  </si>
  <si>
    <t>Serving models on Kubernetes and GPUs</t>
  </si>
  <si>
    <t>Deploy vLLM on a GPU node, expose it behind your gateway, size it for 50 concurrent users</t>
  </si>
  <si>
    <t>vLLM docs: deployment and serving</t>
  </si>
  <si>
    <t>https://docs.vllm.ai/</t>
  </si>
  <si>
    <t>Stanford CS336: Language Modeling from Scratch (inference lecture)</t>
  </si>
  <si>
    <t>https://stanford-cs336.github.io/</t>
  </si>
  <si>
    <t>RunPod or similar GPU by the hour</t>
  </si>
  <si>
    <t>https://www.runpod.io/</t>
  </si>
  <si>
    <t>Free tier</t>
  </si>
  <si>
    <t>vLLM served open model with a benchmark table and a capacity plan</t>
  </si>
  <si>
    <t>Terraform: state, modules, workspaces, drift, CI</t>
  </si>
  <si>
    <t>Terraform a VPC and EKS from modules with remote state, plan in CI, no click-ops</t>
  </si>
  <si>
    <t>HashiCorp Terraform tutorials (AWS track, modules)</t>
  </si>
  <si>
    <t>https://developer.hashicorp.com/terraform/tutorials</t>
  </si>
  <si>
    <t>freeCodeCamp: Terraform Course, Automate your AWS cloud infrastructure</t>
  </si>
  <si>
    <t>Terraform Up and Running (book, optional buy)</t>
  </si>
  <si>
    <t>https://www.terraformupandrunning.com/</t>
  </si>
  <si>
    <t>Paid (~$40)</t>
  </si>
  <si>
    <t>Terraform repo: VPC, subnets, NAT, EC2, remote state, plan on PR</t>
  </si>
  <si>
    <t>AWS networking and compute: VPC, subnets, SG, NACL, ALB across AZs, EC2, Lambda</t>
  </si>
  <si>
    <t>Explain every rule in your VPC diagram; put an ALB in front of two AZs</t>
  </si>
  <si>
    <t>AWS VPC User Guide</t>
  </si>
  <si>
    <t>https://docs.aws.amazon.com/vpc/latest/userguide/what-is-amazon-vpc.html</t>
  </si>
  <si>
    <t>AWS Skill Builder: free digital courses (networking, compute)</t>
  </si>
  <si>
    <t>https://skillbuilder.aws/</t>
  </si>
  <si>
    <t>AWS Cloud Quest (game, free Cloud Practitioner role)</t>
  </si>
  <si>
    <t>https://aws.amazon.com/training/digital/aws-cloud-quest/</t>
  </si>
  <si>
    <t>Annotated VPC diagram; ALB + two EC2 across AZs in Terraform</t>
  </si>
  <si>
    <t>AWS data: RDS Postgres, S3, ElastiCache, DynamoDB</t>
  </si>
  <si>
    <t>Restore RDS from backup and time it; S3 lifecycle and encryption; know when DynamoDB beats Postgres</t>
  </si>
  <si>
    <t>AWS RDS, S3, ElastiCache and DynamoDB user guides</t>
  </si>
  <si>
    <t>https://docs.aws.amazon.com/rds/</t>
  </si>
  <si>
    <t>AWS Skill Builder: databases and storage courses</t>
  </si>
  <si>
    <t>Terraform RDS Multi-AZ + S3 + a tested restore</t>
  </si>
  <si>
    <t>https://developer.hashicorp.com/terraform/tutorials/aws-get-started</t>
  </si>
  <si>
    <t>A month over 4.33 weeks means it will not fit at your pace: raise weekly hours, skip an optional row, or let it spill. Track L runs alongside everything from month 2.</t>
  </si>
  <si>
    <t>RDS via Terraform with a recorded restore drill and RTO</t>
  </si>
  <si>
    <t>IAM and cloud security: least privilege, roles, IRSA, no long-lived keys</t>
  </si>
  <si>
    <t>Write a worker policy by hand; explain why a key in a container is a finding</t>
  </si>
  <si>
    <t>AWS IAM best practices</t>
  </si>
  <si>
    <t>https://docs.aws.amazon.com/IAM/latest/UserGuide/best-practices.html</t>
  </si>
  <si>
    <t>AWS Events channel: re:Inforce IAM talks</t>
  </si>
  <si>
    <t>https://www.youtube.com/@AWSEventsChannel</t>
  </si>
  <si>
    <t>flaws.cloud and flaws2.cloud (AWS security games)</t>
  </si>
  <si>
    <t>http://flaws.cloud/</t>
  </si>
  <si>
    <t>flaws.cloud completed; every key in your stack replaced by a role</t>
  </si>
  <si>
    <t>EKS: cluster design, node groups, IRSA, ingress, cert-manager, Route 53</t>
  </si>
  <si>
    <t>Stand up EKS from Terraform with TLS and DNS, then tear it down; know the monthly cost</t>
  </si>
  <si>
    <t>EKS Best Practices Guide</t>
  </si>
  <si>
    <t>EKS Workshop (video walkthroughs)</t>
  </si>
  <si>
    <t>https://www.eksworkshop.com/</t>
  </si>
  <si>
    <t>EKS Workshop labs</t>
  </si>
  <si>
    <t>Dokeo on EKS via Terraform with cert-manager and Route 53; cost recorded; torn down</t>
  </si>
  <si>
    <t>GCP and the multi-cloud Rosetta stone</t>
  </si>
  <si>
    <t>Map every AWS service you use to GCP and Azure; deploy the same container to Cloud Run</t>
  </si>
  <si>
    <t>Google Cloud: AWS, Azure and GCP service comparison</t>
  </si>
  <si>
    <t>https://cloud.google.com/docs/get-started/aws-azure-gcp-service-comparison</t>
  </si>
  <si>
    <t>Google Cloud Tech channel</t>
  </si>
  <si>
    <t>https://www.youtube.com/@googlecloudtech</t>
  </si>
  <si>
    <t>Google Cloud Skills Boost (free labs)</t>
  </si>
  <si>
    <t>https://www.cloudskillsboost.google/</t>
  </si>
  <si>
    <t>Dokeo on Cloud Run; a one-page service map across three clouds</t>
  </si>
  <si>
    <t>CI/CD and supply chain: build, test, scan, sign, deploy</t>
  </si>
  <si>
    <t>A failing test or a HIGH CVE blocks the deploy; ArgoCD syncs on green</t>
  </si>
  <si>
    <t>GitHub Actions docs</t>
  </si>
  <si>
    <t>https://docs.github.com/en/actions</t>
  </si>
  <si>
    <t>TechWorld with Nana: GitHub Actions video</t>
  </si>
  <si>
    <t>Build the pipeline on Dokeo</t>
  </si>
  <si>
    <t>Pipeline: pytest, build, Trivy, push to ECR, ArgoCD sync</t>
  </si>
  <si>
    <t>Cloud cost and FinOps</t>
  </si>
  <si>
    <t>Cost the DefenderMate stack at 1 and 20 clients and name three levers</t>
  </si>
  <si>
    <t>FinOps Foundation framework</t>
  </si>
  <si>
    <t>https://www.finops.org/framework/</t>
  </si>
  <si>
    <t>AWS Skill Builder: cost optimisation courses</t>
  </si>
  <si>
    <t>AWS Pricing Calculator</t>
  </si>
  <si>
    <t>https://calculator.aws/</t>
  </si>
  <si>
    <t>Cost sheet with three savings levers, written for a CFO</t>
  </si>
  <si>
    <t>SRE fundamentals: SLIs, SLOs, error budgets, toil, on-call</t>
  </si>
  <si>
    <t>Define SLOs for DefenderMate and show error-budget burn on a dashboard</t>
  </si>
  <si>
    <t>Google SRE Book (ch 1-6) and SRE Workbook (ch 2-5)</t>
  </si>
  <si>
    <t>https://sre.google/sre-book/table-of-contents/</t>
  </si>
  <si>
    <t>Google Cloud Tech: 'Class SRE implements DevOps' playlist</t>
  </si>
  <si>
    <t>Grafana Cloud free tier: SLO dashboard</t>
  </si>
  <si>
    <t>https://grafana.com/</t>
  </si>
  <si>
    <t>SLO doc and dashboard for DefenderMate</t>
  </si>
  <si>
    <t>Observability: OpenTelemetry, Prometheus, Grafana, logs, traces, metrics</t>
  </si>
  <si>
    <t>One trace from webhook to classifier to HubSpot write, in one tool</t>
  </si>
  <si>
    <t>OpenTelemetry docs + Prometheus docs</t>
  </si>
  <si>
    <t>https://opentelemetry.io/docs/</t>
  </si>
  <si>
    <t>Grafana channel: OpenTelemetry and Prometheus tutorials</t>
  </si>
  <si>
    <t>https://www.youtube.com/@Grafana</t>
  </si>
  <si>
    <t>OpenTelemetry Demo application</t>
  </si>
  <si>
    <t>https://opentelemetry.io/docs/demo/</t>
  </si>
  <si>
    <t>DefenderMate instrumented end to end; screenshots of a full trace</t>
  </si>
  <si>
    <t>Load testing and chaos</t>
  </si>
  <si>
    <t>Find the first bottleneck under load and prove the fix; kill a worker mid-workflow and document recovery</t>
  </si>
  <si>
    <t>Grafana k6 docs + Principles of Chaos Engineering</t>
  </si>
  <si>
    <t>https://grafana.com/docs/k6/latest/</t>
  </si>
  <si>
    <t>Grafana channel: k6 videos</t>
  </si>
  <si>
    <t>Chaos Mesh on your k3s cluster</t>
  </si>
  <si>
    <t>https://chaos-mesh.org/</t>
  </si>
  <si>
    <t>Load report with before/after; chaos notes on Kaupex and Temporal</t>
  </si>
  <si>
    <t>Incident response and postmortems</t>
  </si>
  <si>
    <t>Run an incident as commander; write a blameless postmortem a client would accept</t>
  </si>
  <si>
    <t>PagerDuty Incident Response guide + SRE Book 'Postmortem Culture'</t>
  </si>
  <si>
    <t>https://response.pagerduty.com/</t>
  </si>
  <si>
    <t>Google SRE: 'Disaster Role Playing' (SRE Workbook chapter; run it live)</t>
  </si>
  <si>
    <t>https://sre.google/workbook/table-of-contents/</t>
  </si>
  <si>
    <t>Wheel of Misfortune tabletop with a friend</t>
  </si>
  <si>
    <t>Incident playbook and one real postmortem</t>
  </si>
  <si>
    <t>High availability and disaster recovery</t>
  </si>
  <si>
    <t>Multi-AZ design, RTO/RPO numbers, a restore you have actually run</t>
  </si>
  <si>
    <t>AWS Well-Architected Reliability Pillar</t>
  </si>
  <si>
    <t>https://docs.aws.amazon.com/wellarchitected/latest/reliability-pillar/welcome.html</t>
  </si>
  <si>
    <t>AWS Events channel: Well-Architected reliability talks</t>
  </si>
  <si>
    <t>Restore drill on Kaupex Postgres, timed</t>
  </si>
  <si>
    <t>https://www.postgresql.org/docs/current/backup.html</t>
  </si>
  <si>
    <t>DR plan with measured RTO/RPO</t>
  </si>
  <si>
    <t>Production Python architecture: domain models, repositories, DI, packaging</t>
  </si>
  <si>
    <t>Structure a service so a second engineer can extend it in a day; know why</t>
  </si>
  <si>
    <t>Architecture Patterns with Python (free online)</t>
  </si>
  <si>
    <t>https://www.cosmicpython.com/</t>
  </si>
  <si>
    <t>ArjanCodes: software design in Python</t>
  </si>
  <si>
    <t>https://www.youtube.com/@ArjanCodes</t>
  </si>
  <si>
    <t>Exercism Python track (mentored, free)</t>
  </si>
  <si>
    <t>https://exercism.org/tracks/python</t>
  </si>
  <si>
    <t>Kaupex Task Compiler restructured with tests; 20 Exercism exercises</t>
  </si>
  <si>
    <t>FastAPI in production: DI, settings, lifespan, background tasks, workers, deployment</t>
  </si>
  <si>
    <t>Serve under load with correct worker counts, timeouts and graceful shutdown</t>
  </si>
  <si>
    <t>FastAPI docs: Tutorial, Advanced, Deployment</t>
  </si>
  <si>
    <t>https://fastapi.tiangolo.com/</t>
  </si>
  <si>
    <t>freeCodeCamp: FastAPI course</t>
  </si>
  <si>
    <t>Refactor a Kaupex service to the bigger-applications layout</t>
  </si>
  <si>
    <t>https://fastapi.tiangolo.com/tutorial/bigger-applications/</t>
  </si>
  <si>
    <t>Service with typed settings, health endpoints and a load-tested worker config</t>
  </si>
  <si>
    <t>Auth: OAuth2, OIDC, JWT, RBAC, multi-tenant claims</t>
  </si>
  <si>
    <t>Add OIDC login with any IdP and enforce tenant claims server-side; explain PKCE to a client</t>
  </si>
  <si>
    <t>OAuth 2.0 and OpenID Connect (oauth.net)</t>
  </si>
  <si>
    <t>https://oauth.net/2/</t>
  </si>
  <si>
    <t>OktaDev: OAuth 2.0 and OpenID Connect (in plain English), Nate Barbettini</t>
  </si>
  <si>
    <t>https://www.youtube.com/@OktaDev</t>
  </si>
  <si>
    <t>Keycloak (self-hosted IdP) wired to the DefenderMate dashboard</t>
  </si>
  <si>
    <t>https://www.keycloak.org/</t>
  </si>
  <si>
    <t>OIDC login plus RBAC routes, tenant enforced in the API</t>
  </si>
  <si>
    <t>TypeScript and Node for FDEs</t>
  </si>
  <si>
    <t>Typed API client generated from OpenAPI; a small Node service with tests</t>
  </si>
  <si>
    <t>TypeScript Handbook + Total TypeScript free tutorials</t>
  </si>
  <si>
    <t>https://www.totaltypescript.com/tutorials</t>
  </si>
  <si>
    <t>Matt Pocock (Total TypeScript) channel</t>
  </si>
  <si>
    <t>https://www.youtube.com/@mattpocockuk</t>
  </si>
  <si>
    <t>type-challenges (easy and medium)</t>
  </si>
  <si>
    <t>https://github.com/type-challenges/type-challenges</t>
  </si>
  <si>
    <t>DefenderMate MCP client in TypeScript with generated types</t>
  </si>
  <si>
    <t>PostgreSQL at depth: planner, indexes, EXPLAIN, locks, transactions, window functions</t>
  </si>
  <si>
    <t>Read any EXPLAIN ANALYZE and say what to change; pick the right index shape</t>
  </si>
  <si>
    <t>Use The Index, Luke + PostgreSQL docs (Performance Tips, Indexes)</t>
  </si>
  <si>
    <t>https://use-the-index-luke.com/</t>
  </si>
  <si>
    <t>Hussein Nasser: database engineering playlist</t>
  </si>
  <si>
    <t>pgexercises (all sets) + SQL Murder Mystery</t>
  </si>
  <si>
    <t>https://pgexercises.com/</t>
  </si>
  <si>
    <t>Three slowest Dokeo queries fixed with EXPLAIN before/after</t>
  </si>
  <si>
    <t>Data modelling for multi-tenant AI systems: RLS, PII, encryption, audit trails</t>
  </si>
  <si>
    <t>A schema a client's security team signs off; RLS proven with tests</t>
  </si>
  <si>
    <t>PostgreSQL Row Security Policies + pgcrypto docs</t>
  </si>
  <si>
    <t>https://www.postgresql.org/docs/current/ddl-rowsecurity.html</t>
  </si>
  <si>
    <t>Supabase channel: Row Level Security videos</t>
  </si>
  <si>
    <t>https://www.youtube.com/@Supabase</t>
  </si>
  <si>
    <t>Write and test RLS policies on DefenderMate</t>
  </si>
  <si>
    <t>Multi-tenant model doc with RLS tests, encrypted PII, append-only audit</t>
  </si>
  <si>
    <t>Redis: caching, rate limiting, idempotency, streams</t>
  </si>
  <si>
    <t>Implement a token-bucket limiter and idempotency keys; know eviction and persistence trade-offs</t>
  </si>
  <si>
    <t>Redis docs</t>
  </si>
  <si>
    <t>https://redis.io/docs/latest/</t>
  </si>
  <si>
    <t>Redis University courses</t>
  </si>
  <si>
    <t>https://university.redis.io/</t>
  </si>
  <si>
    <t>Build limiter + idempotency store for DefenderMate webhooks</t>
  </si>
  <si>
    <t>Rate limiter and idempotency layer in production</t>
  </si>
  <si>
    <t>Kafka and event-driven design</t>
  </si>
  <si>
    <t>Know when a topic beats a webhook; partitions, consumer groups, exactly-once claims</t>
  </si>
  <si>
    <t>Confluent docs + DDIA chapter 11</t>
  </si>
  <si>
    <t>https://developer.confluent.io/</t>
  </si>
  <si>
    <t>Confluent Developer: Kafka 101 course</t>
  </si>
  <si>
    <t>https://developer.confluent.io/courses/</t>
  </si>
  <si>
    <t>Redpanda local cluster: rebuild DefenderMate ingestion as topics</t>
  </si>
  <si>
    <t>https://docs.redpanda.com/</t>
  </si>
  <si>
    <t>Event pipeline prototype and a written 'when not to' memo</t>
  </si>
  <si>
    <t>Temporal at depth: signals, queries, versioning, sagas, worker tuning</t>
  </si>
  <si>
    <t>Version a workflow with running instances; add a compensating path; tune workers</t>
  </si>
  <si>
    <t>Temporal docs</t>
  </si>
  <si>
    <t>https://docs.temporal.io/</t>
  </si>
  <si>
    <t>Temporal channel</t>
  </si>
  <si>
    <t>https://www.youtube.com/@Temporalio</t>
  </si>
  <si>
    <t>Temporal 101, 102 and Versioning courses</t>
  </si>
  <si>
    <t>https://learn.temporal.io/courses/</t>
  </si>
  <si>
    <t>Saga path and a live versioned change on Kaupex</t>
  </si>
  <si>
    <t>Testing and contracts: pytest, property tests, OpenAPI contract tests</t>
  </si>
  <si>
    <t>A failing contract breaks the build; coverage published</t>
  </si>
  <si>
    <t>pytest docs + Schemathesis docs</t>
  </si>
  <si>
    <t>https://schemathesis.readthedocs.io/</t>
  </si>
  <si>
    <t>ArjanCodes: testing videos</t>
  </si>
  <si>
    <t>Schemathesis against the Kaupex API in CI</t>
  </si>
  <si>
    <t>Contract tests in CI with a coverage badge</t>
  </si>
  <si>
    <t>Warehouse layer: dbt, DuckDB, dimensional modelling</t>
  </si>
  <si>
    <t>Nightly reporting mart with tests and documentation</t>
  </si>
  <si>
    <t>dbt docs</t>
  </si>
  <si>
    <t>https://docs.getdbt.com/</t>
  </si>
  <si>
    <t>dbt Learn: dbt Fundamentals (free, certificate)</t>
  </si>
  <si>
    <t>https://learn.getdbt.com/</t>
  </si>
  <si>
    <t>DuckDB mart feeding the DefenderMate weekly email</t>
  </si>
  <si>
    <t>https://duckdb.org/docs/</t>
  </si>
  <si>
    <t>dbt project with tests and docs</t>
  </si>
  <si>
    <t>PySpark (optional: Databricks- or Palantir-style roles only)</t>
  </si>
  <si>
    <t>Rewrite one aggregation in PySpark; know the driver/executor model</t>
  </si>
  <si>
    <t>PySpark Getting Started</t>
  </si>
  <si>
    <t>https://spark.apache.org/docs/latest/api/python/getting_started/index.html</t>
  </si>
  <si>
    <t>Databricks channel</t>
  </si>
  <si>
    <t>https://www.youtube.com/@Databricks</t>
  </si>
  <si>
    <t>Local Spark aggregation on DefenderMate exports</t>
  </si>
  <si>
    <t>One PySpark job with notes</t>
  </si>
  <si>
    <t>Designing Data-Intensive Applications and Kleppmann's lectures</t>
  </si>
  <si>
    <t>Explain replication, partitioning, consistency and consensus to a client architect without notes</t>
  </si>
  <si>
    <t>Designing Data-Intensive Applications (the one book worth buying)</t>
  </si>
  <si>
    <t>https://dataintensive.net/</t>
  </si>
  <si>
    <t>Paid (~$45)</t>
  </si>
  <si>
    <t>Martin Kleppmann: Distributed Systems lecture series</t>
  </si>
  <si>
    <t>https://www.youtube.com/@kleppmann</t>
  </si>
  <si>
    <t>Fly.io Gossip Glomers (distributed systems challenges)</t>
  </si>
  <si>
    <t>https://fly.io/dist-sys/</t>
  </si>
  <si>
    <t>Gossip Glomers challenges 1-4 solved; chapter notes in your own words</t>
  </si>
  <si>
    <t>MIT 6.824 selected lectures: Raft, linearizability, transactions</t>
  </si>
  <si>
    <t>Explain Raft leader election and log replication on a whiteboard</t>
  </si>
  <si>
    <t>MIT 6.824 papers (Raft, Spanner)</t>
  </si>
  <si>
    <t>https://pdos.csail.mit.edu/6.824/schedule.html</t>
  </si>
  <si>
    <t>MIT 6.824 lectures (course site links)</t>
  </si>
  <si>
    <t>https://pdos.csail.mit.edu/6.824/</t>
  </si>
  <si>
    <t>6.824 Raft lab (optional, heavy)</t>
  </si>
  <si>
    <t>Whiteboard video explaining Raft</t>
  </si>
  <si>
    <t>MIT 6.824 Raft lab (optional deep dive)</t>
  </si>
  <si>
    <t>Implement Raft in Go</t>
  </si>
  <si>
    <t>6.824 lab handout</t>
  </si>
  <si>
    <t>6.824 lectures</t>
  </si>
  <si>
    <t>Lab 2 Raft</t>
  </si>
  <si>
    <t>Passing Raft lab tests</t>
  </si>
  <si>
    <t>System design playbook: load balancing, caching, sharding, queues, rate limits, IDs, search</t>
  </si>
  <si>
    <t>Run a 45-minute design end to end with numbers, trade-offs and a failure story</t>
  </si>
  <si>
    <t>System Design Primer + ByteByteGo system-design-101</t>
  </si>
  <si>
    <t>https://github.com/donnemartin/system-design-primer</t>
  </si>
  <si>
    <t>ByteByteGo channel</t>
  </si>
  <si>
    <t>https://www.youtube.com/@ByteByteGo</t>
  </si>
  <si>
    <t>Hello Interview: System Design in a Hurry + practice</t>
  </si>
  <si>
    <t>https://www.hellointerview.com/learn/system-design/in-a-hurry/introduction</t>
  </si>
  <si>
    <t>Six written designs including DefenderMate at 500 clients</t>
  </si>
  <si>
    <t>LLM-era system design: serving, caching, batching, rate limits, retries, latency budgets</t>
  </si>
  <si>
    <t>Design an LLM feature with p95 latency, cost per request and a fallback path</t>
  </si>
  <si>
    <t>AI Engineering (Chip Huyen) + Eugene Yan: Patterns for LLM systems</t>
  </si>
  <si>
    <t>https://eugeneyan.com/writing/llm-patterns/</t>
  </si>
  <si>
    <t>Paid (~$50) + Free</t>
  </si>
  <si>
    <t>Full Stack Deep Learning: LLM Bootcamp</t>
  </si>
  <si>
    <t>https://fullstackdeeplearning.com/llm-bootcamp/</t>
  </si>
  <si>
    <t>Design Kaupex under Black Friday load; write it up</t>
  </si>
  <si>
    <t>Two LLM system designs with latency and cost budgets</t>
  </si>
  <si>
    <t>System design mocks (six, timed, recorded)</t>
  </si>
  <si>
    <t>Score 4/5 on a peer rubric three times in a row</t>
  </si>
  <si>
    <t>Hello Interview rubric</t>
  </si>
  <si>
    <t>Exponent: system design mock examples</t>
  </si>
  <si>
    <t>https://www.youtube.com/@tryexponent</t>
  </si>
  <si>
    <t>Exponent peer mock practice (free)</t>
  </si>
  <si>
    <t>https://www.tryexponent.com/practice</t>
  </si>
  <si>
    <t>Six recordings, self-reviewed with a rubric</t>
  </si>
  <si>
    <t>LLM fundamentals: tokens, attention, pretraining, RLHF, scaling, limits</t>
  </si>
  <si>
    <t>Explain why a model hallucinates and what actually reduces it; read a model card critically</t>
  </si>
  <si>
    <t>Prompt Engineering Guide + Hugging Face LLM course</t>
  </si>
  <si>
    <t>https://www.promptingguide.ai/</t>
  </si>
  <si>
    <t>Andrej Karpathy: Intro to Large Language Models; Deep Dive into LLMs like ChatGPT</t>
  </si>
  <si>
    <t>https://www.youtube.com/@AndrejKarpathy</t>
  </si>
  <si>
    <t>Karpathy: Let's build GPT (follow along, optional)</t>
  </si>
  <si>
    <t>A one-page explainer for clients on what LLMs can and cannot do, with sources</t>
  </si>
  <si>
    <t>Prompt engineering as code: versioning, regression sets, structured outputs</t>
  </si>
  <si>
    <t>Every prompt in Git with a changelog and a regression set that runs in CI</t>
  </si>
  <si>
    <t>Anthropic prompt engineering docs</t>
  </si>
  <si>
    <t>https://docs.claude.com/en/docs/build-with-claude/prompt-engineering/overview</t>
  </si>
  <si>
    <t>DeepLearning.AI short courses: prompt engineering</t>
  </si>
  <si>
    <t>Anthropic interactive prompt engineering tutorial</t>
  </si>
  <si>
    <t>https://github.com/anthropics/courses</t>
  </si>
  <si>
    <t>DefenderMate prompts versioned with regression tests</t>
  </si>
  <si>
    <t>Tool use, structured outputs and MCP servers</t>
  </si>
  <si>
    <t>Build an MCP server with auth and narrow tools; explain the trust boundary</t>
  </si>
  <si>
    <t>Model Context Protocol docs + Anthropic tool-use docs</t>
  </si>
  <si>
    <t>https://modelcontextprotocol.io/</t>
  </si>
  <si>
    <t>Anthropic channel: MCP talks</t>
  </si>
  <si>
    <t>https://www.youtube.com/@anthropic-ai</t>
  </si>
  <si>
    <t>MCP quickstart: build a server for HubSpot lookups</t>
  </si>
  <si>
    <t>Public MCP server repo with tests</t>
  </si>
  <si>
    <t>Agents: workflows vs agents, planning, memory, multi-agent, human-in-the-loop</t>
  </si>
  <si>
    <t>Decide which parts of a client workflow should be an agent at all, and defend it</t>
  </si>
  <si>
    <t>Anthropic: Building effective agents + Lilian Weng: LLM-powered agents</t>
  </si>
  <si>
    <t>https://www.anthropic.com/engineering/building-effective-agents</t>
  </si>
  <si>
    <t>DeepLearning.AI short courses: agents</t>
  </si>
  <si>
    <t>Hugging Face Agents course</t>
  </si>
  <si>
    <t>https://huggingface.co/learn/agents-course</t>
  </si>
  <si>
    <t>Written map of Kaupex and DefenderMate steps: workflow or agent, and why</t>
  </si>
  <si>
    <t>RAG at depth: chunking, embeddings, hybrid retrieval, reranking, contextual retrieval, caching</t>
  </si>
  <si>
    <t>Beat naive RAG on your own eval set by a measured margin</t>
  </si>
  <si>
    <t>Anthropic: Contextual Retrieval + Pinecone Learning Center</t>
  </si>
  <si>
    <t>https://www.anthropic.com/news/contextual-retrieval</t>
  </si>
  <si>
    <t>DeepLearning.AI: Building and Evaluating Advanced RAG</t>
  </si>
  <si>
    <t>Hybrid RAG over Dokeo docs in pgvector with reranking</t>
  </si>
  <si>
    <t>https://github.com/anthropics/anthropic-cookbook</t>
  </si>
  <si>
    <t>RAG with eval numbers before and after each improvement</t>
  </si>
  <si>
    <t>Fine-tuning vs prompting: LoRA, PEFT, when not to</t>
  </si>
  <si>
    <t>Run one LoRA fine-tune and write the memo on why the classifier does not need it</t>
  </si>
  <si>
    <t>Hugging Face PEFT docs</t>
  </si>
  <si>
    <t>https://huggingface.co/docs/peft</t>
  </si>
  <si>
    <t>Hugging Face LLM course: fine-tuning chapters</t>
  </si>
  <si>
    <t>https://huggingface.co/learn/llm-course</t>
  </si>
  <si>
    <t>LoRA fine-tune a small model on Colab (free)</t>
  </si>
  <si>
    <t>https://colab.research.google.com/</t>
  </si>
  <si>
    <t>Fine-tune notebook and a decision memo with numbers</t>
  </si>
  <si>
    <t>Guardrails, prompt injection, red-teaming</t>
  </si>
  <si>
    <t>Pass all Gandalf levels; ship an injection test set the classifier must pass</t>
  </si>
  <si>
    <t>OWASP Top 10 for LLM Applications</t>
  </si>
  <si>
    <t>https://owasp.org/www-project-top-10-for-large-language-model-applications/</t>
  </si>
  <si>
    <t>OWASP channel: LLM security talks</t>
  </si>
  <si>
    <t>https://www.youtube.com/@OWASPGLOBAL</t>
  </si>
  <si>
    <t>Gandalf (Lakera) + promptfoo red-team</t>
  </si>
  <si>
    <t>https://gandalf.lakera.ai/</t>
  </si>
  <si>
    <t>Threat model against the ten; injection suite in CI</t>
  </si>
  <si>
    <t>Hermes Agent (Nous Research) in production</t>
  </si>
  <si>
    <t>Deploy, extend with an MCP server, schedule tasks, write it up publicly</t>
  </si>
  <si>
    <t>Hermes Agent repo and docs</t>
  </si>
  <si>
    <t>https://github.com/NousResearch/hermes-agent</t>
  </si>
  <si>
    <t>Nous Research channels (GitHub, Discord)</t>
  </si>
  <si>
    <t>https://github.com/NousResearch</t>
  </si>
  <si>
    <t>Deploy on Hetzner in Docker with your HubSpot MCP server</t>
  </si>
  <si>
    <t>Public repo and a 1,500-word write-up</t>
  </si>
  <si>
    <t>Evals as infrastructure: eval sets, LLM-as-judge, human review, CI gates</t>
  </si>
  <si>
    <t>Answer 'how do you know it works?' with numbers, per class, over time</t>
  </si>
  <si>
    <t>Hamel Husain: Your AI Product Needs Evals</t>
  </si>
  <si>
    <t>https://hamel.dev/blog/posts/evals/</t>
  </si>
  <si>
    <t>Evidently AI: LLM evaluation course (free); Hamel and Shreya evals course (paid, optional)</t>
  </si>
  <si>
    <t>https://www.evidentlyai.com/llm-evaluations-course</t>
  </si>
  <si>
    <t>promptfoo suite for the DefenderMate classifier in CI</t>
  </si>
  <si>
    <t>https://www.promptfoo.dev/docs/intro</t>
  </si>
  <si>
    <t>200 labelled examples, per-class accuracy, CI gate, eval report</t>
  </si>
  <si>
    <t>LLM observability: traces, cost, latency, datasets</t>
  </si>
  <si>
    <t>Every model call traced with cost and latency, joined to the OTel trace</t>
  </si>
  <si>
    <t>Langfuse docs</t>
  </si>
  <si>
    <t>https://langfuse.com/docs</t>
  </si>
  <si>
    <t>Langfuse channel</t>
  </si>
  <si>
    <t>https://www.youtube.com/@langfuse</t>
  </si>
  <si>
    <t>Instrument Kaupex and DefenderMate</t>
  </si>
  <si>
    <t>Screenshots of end-to-end traces with cost</t>
  </si>
  <si>
    <t>Model gateway, routing, fallbacks, canaries</t>
  </si>
  <si>
    <t>Route 10% to a second model, compare evals, roll forward or back</t>
  </si>
  <si>
    <t>LiteLLM docs</t>
  </si>
  <si>
    <t>https://docs.litellm.ai/</t>
  </si>
  <si>
    <t>LiteLLM channel and docs videos</t>
  </si>
  <si>
    <t>Canary on Kaupex via LiteLLM</t>
  </si>
  <si>
    <t>Canary report</t>
  </si>
  <si>
    <t>Serving at scale: vLLM, quantisation, KV cache, batching, GPU maths</t>
  </si>
  <si>
    <t>Benchmark tokens/sec and write a capacity plan a CFO can read</t>
  </si>
  <si>
    <t>Lilian Weng: Large Transformer Model Inference Optimization + vLLM docs</t>
  </si>
  <si>
    <t>https://lilianweng.github.io/posts/2023-01-10-inference-optimization/</t>
  </si>
  <si>
    <t>Stanford CS336 inference lecture</t>
  </si>
  <si>
    <t>vLLM benchmark on a rented GPU</t>
  </si>
  <si>
    <t>Benchmark table and capacity plan for 50 and 500 users</t>
  </si>
  <si>
    <t>Drift, feedback loops, registries, rollout</t>
  </si>
  <si>
    <t>Detect drift in the classifier and roll a prompt version with a registry</t>
  </si>
  <si>
    <t>MLflow docs</t>
  </si>
  <si>
    <t>https://mlflow.org/docs/latest/</t>
  </si>
  <si>
    <t>Evidently AI channel</t>
  </si>
  <si>
    <t>https://www.youtube.com/@EvidentlyAI</t>
  </si>
  <si>
    <t>Drift check on DefenderMate classifications</t>
  </si>
  <si>
    <t>https://docs.evidentlyai.com/</t>
  </si>
  <si>
    <t>Drift report and rollout process</t>
  </si>
  <si>
    <t>Cost and latency engineering: prompt caching, batching, smaller models</t>
  </si>
  <si>
    <t>Cut Kaupex model spend 30% with no eval regression</t>
  </si>
  <si>
    <t>Anthropic docs: prompt caching and batch processing</t>
  </si>
  <si>
    <t>https://docs.claude.com/en/docs/build-with-claude/prompt-caching</t>
  </si>
  <si>
    <t>Anthropic channel</t>
  </si>
  <si>
    <t>Apply caching and batching in Kaupex</t>
  </si>
  <si>
    <t>https://docs.claude.com/</t>
  </si>
  <si>
    <t>Before/after cost and latency table</t>
  </si>
  <si>
    <t>Platform fluency for take-homes: Anthropic and OpenAI APIs side by side</t>
  </si>
  <si>
    <t>Build tool use, structured output and batch on both APIs from memory</t>
  </si>
  <si>
    <t>Anthropic docs + OpenAI API docs</t>
  </si>
  <si>
    <t>DeepLearning.AI: API-focused short courses</t>
  </si>
  <si>
    <t>Same feature on both APIs, timed</t>
  </si>
  <si>
    <t>Two small repos, one per API</t>
  </si>
  <si>
    <t>Application security: OWASP Top 10 hands-on</t>
  </si>
  <si>
    <t>Complete the PortSwigger labs relevant to APIs and auth; find one real issue in your own stack</t>
  </si>
  <si>
    <t>OWASP Top Ten</t>
  </si>
  <si>
    <t>https://owasp.org/www-project-top-ten/</t>
  </si>
  <si>
    <t>PortSwigger: Web Security Academy videos</t>
  </si>
  <si>
    <t>https://portswigger.net/web-security</t>
  </si>
  <si>
    <t>PortSwigger labs (apprentice and practitioner)</t>
  </si>
  <si>
    <t>Lab completions plus one fixed finding in Dokeo</t>
  </si>
  <si>
    <t>Threat modelling and secrets lifecycle</t>
  </si>
  <si>
    <t>STRIDE model of DefenderMate; zero-downtime secret rotation</t>
  </si>
  <si>
    <t>OWASP Threat Modeling + HashiCorp Vault tutorials</t>
  </si>
  <si>
    <t>https://owasp.org/www-community/Threat_Modeling</t>
  </si>
  <si>
    <t>OWASP channel: threat modelling talks</t>
  </si>
  <si>
    <t>Rotate every secret with Vault or cloud secrets manager</t>
  </si>
  <si>
    <t>https://developer.hashicorp.com/vault/tutorials</t>
  </si>
  <si>
    <t>Threat model doc and rotation runbook</t>
  </si>
  <si>
    <t>Cloud and Kubernetes security games</t>
  </si>
  <si>
    <t>Finish flaws2.cloud and Kubernetes Goat; two TryHackMe free rooms</t>
  </si>
  <si>
    <t>EKS Best Practices: security</t>
  </si>
  <si>
    <t>CNCF channel: security talks</t>
  </si>
  <si>
    <t>flaws2.cloud + Kubernetes Goat + TryHackMe (free rooms)</t>
  </si>
  <si>
    <t>http://flaws2.cloud/</t>
  </si>
  <si>
    <t>Completion notes and a client-facing checklist</t>
  </si>
  <si>
    <t>Compliance: SOC 2, GDPR, HIPAA, PCI, what FDEs actually do</t>
  </si>
  <si>
    <t>Map DefenderMate controls to SOC 2 and GDPR; know HIPAA and PCI vocabulary</t>
  </si>
  <si>
    <t>GDPR.eu + HHS HIPAA + PCI SSC</t>
  </si>
  <si>
    <t>https://gdpr.eu/</t>
  </si>
  <si>
    <t>Vanta and Drata webinars on SOC 2 basics</t>
  </si>
  <si>
    <t>https://www.vanta.com/resources</t>
  </si>
  <si>
    <t>Control mapping spreadsheet for DefenderMate</t>
  </si>
  <si>
    <t>Control map a compliance lead would accept</t>
  </si>
  <si>
    <t>Incident tabletop and security briefing</t>
  </si>
  <si>
    <t>Run a tabletop; brief a board in five minutes</t>
  </si>
  <si>
    <t>PagerDuty Incident Response</t>
  </si>
  <si>
    <t>PagerDuty channel</t>
  </si>
  <si>
    <t>https://www.youtube.com/@PagerDuty</t>
  </si>
  <si>
    <t>Tabletop with a friend playing the client</t>
  </si>
  <si>
    <t>Recorded five-minute security briefing</t>
  </si>
  <si>
    <t>Discovery: finding the real problem</t>
  </si>
  <si>
    <t>Run five discovery interviews without leading; write the problem statement the client agrees with</t>
  </si>
  <si>
    <t>The Mom Test (Rob Fitzpatrick)</t>
  </si>
  <si>
    <t>https://www.momtestbook.com/</t>
  </si>
  <si>
    <t>Paid (~$15)</t>
  </si>
  <si>
    <t>Teresa Torres: continuous discovery talks</t>
  </si>
  <si>
    <t>https://www.producttalk.org/</t>
  </si>
  <si>
    <t>Five discovery interviews (friends' businesses, ex-clients)</t>
  </si>
  <si>
    <t>Five write-ups and a reusable discovery script</t>
  </si>
  <si>
    <t>Engagement documents: site survey, PRD-lite, SOW, ADRs, design docs, runbooks</t>
  </si>
  <si>
    <t>A pack a Palantir-style lead would accept on week one</t>
  </si>
  <si>
    <t>ADR org + Design Docs at Google + Write the Docs guide</t>
  </si>
  <si>
    <t>https://adr.github.io/</t>
  </si>
  <si>
    <t>Google Technical Writing course (One and Two)</t>
  </si>
  <si>
    <t>https://developers.google.com/tech-writing</t>
  </si>
  <si>
    <t>Sanitised DefenderMate engagement pack, public</t>
  </si>
  <si>
    <t>https://www.writethedocs.org/guide/</t>
  </si>
  <si>
    <t>Public engagement pack</t>
  </si>
  <si>
    <t>Demos, executive communication, defending trade-offs</t>
  </si>
  <si>
    <t>Ten-minute demo, ten-minute defence, no notes, to a hostile CFO</t>
  </si>
  <si>
    <t>The Trusted Advisor (Maister, Green, Galford)</t>
  </si>
  <si>
    <t>https://www.amazon.com/dp/0743212347</t>
  </si>
  <si>
    <t>Y Combinator Library: how to pitch and demo</t>
  </si>
  <si>
    <t>https://www.ycombinator.com/library</t>
  </si>
  <si>
    <t>Recorded demos reviewed against the FDE skills matrix</t>
  </si>
  <si>
    <t>Four recorded demos, each better than the last</t>
  </si>
  <si>
    <t>Technical writing and public write-ups</t>
  </si>
  <si>
    <t>Publish three case studies people share</t>
  </si>
  <si>
    <t>Google Technical Writing One and Two</t>
  </si>
  <si>
    <t>Write the Docs conference talks</t>
  </si>
  <si>
    <t>https://www.youtube.com/@WriteTheDocs</t>
  </si>
  <si>
    <t>Three case studies on rasul.in</t>
  </si>
  <si>
    <t>Three published case studies</t>
  </si>
  <si>
    <t>Negotiation and offers</t>
  </si>
  <si>
    <t>Negotiate base and joining bonus with two offers in hand; know your walk-away</t>
  </si>
  <si>
    <t>Haseeb Qureshi: Ten Rules for Negotiating a Job Offer + Never Split the Difference</t>
  </si>
  <si>
    <t>https://haseebq.com/my-ten-rules-for-negotiating-a-job-offer/</t>
  </si>
  <si>
    <t>levels.fyi: comp data and negotiation content</t>
  </si>
  <si>
    <t>https://www.levels.fyi/</t>
  </si>
  <si>
    <t>Negotiation role-play with a friend</t>
  </si>
  <si>
    <t>Written negotiation plan with numbers</t>
  </si>
  <si>
    <t>Domain fluency: fintech ops, healthcare intake, procurement, logistics</t>
  </si>
  <si>
    <t>For each domain: three workflows an agent touches, data you must never move, who signs off</t>
  </si>
  <si>
    <t>HHS HIPAA + PCI SSC + GDPR.eu + industry primers</t>
  </si>
  <si>
    <t>https://www.hhs.gov/hipaa/for-professionals/index.html</t>
  </si>
  <si>
    <t>a16z and Stripe engineering talks on regulated-industry software</t>
  </si>
  <si>
    <t>https://www.youtube.com/@a16z</t>
  </si>
  <si>
    <t>One-pagers per domain</t>
  </si>
  <si>
    <t>Four domain one-pagers</t>
  </si>
  <si>
    <t>Narrative: why FDE, why this company, travel, comp</t>
  </si>
  <si>
    <t>Two 60-second answers and a real number, rehearsed on video</t>
  </si>
  <si>
    <t>Aced (Exponent): FDE interview guide</t>
  </si>
  <si>
    <t>Exponent channel: FDE and behavioural mocks</t>
  </si>
  <si>
    <t>Record and review</t>
  </si>
  <si>
    <t>Three recordings</t>
  </si>
  <si>
    <t>Resume defence: every line</t>
  </si>
  <si>
    <t>For each bullet: what broke, what you changed, what you'd do differently</t>
  </si>
  <si>
    <t>Your resume</t>
  </si>
  <si>
    <t>https://github.com/rasulshaikh</t>
  </si>
  <si>
    <t>Exponent: technical screen examples</t>
  </si>
  <si>
    <t>Mock technical screen with a peer</t>
  </si>
  <si>
    <t>Written defence notes per bullet</t>
  </si>
  <si>
    <t>Take-home rehearsals (four, five hours each, recorded walkthrough)</t>
  </si>
  <si>
    <t>Ship a documented 70% on the clock, four times: RAG + evals, agent with tool boundary, eval harness, data pipeline</t>
  </si>
  <si>
    <t>OpenAI and Anthropic cookbooks</t>
  </si>
  <si>
    <t>Aced: OpenAI FDE take-home guide</t>
  </si>
  <si>
    <t>Four timed builds with README, tests and a 10-minute video</t>
  </si>
  <si>
    <t>Four public repos with videos</t>
  </si>
  <si>
    <t>Decomposition drills (ten)</t>
  </si>
  <si>
    <t>Clarify before proposing; decompose, size, sequence, defend, in 30 minutes</t>
  </si>
  <si>
    <t>Aced guide: decomposition framework</t>
  </si>
  <si>
    <t>Final Round AI: Palantir FDE loop breakdown</t>
  </si>
  <si>
    <t>https://www.finalroundai.com/blog/forward-deployed-engineer-interview</t>
  </si>
  <si>
    <t>Ten drills across industries, written up</t>
  </si>
  <si>
    <t>Ten drill write-ups</t>
  </si>
  <si>
    <t>LLM system design mocks (four)</t>
  </si>
  <si>
    <t>Design with latency, cost, evals and failure modes under 45 minutes</t>
  </si>
  <si>
    <t>Hello Interview</t>
  </si>
  <si>
    <t>ByteByteGo</t>
  </si>
  <si>
    <t>Exponent peer mocks</t>
  </si>
  <si>
    <t>Four recordings</t>
  </si>
  <si>
    <t>Coding drills: data manipulation and AI-assisted production builds</t>
  </si>
  <si>
    <t>Narrate continuously; easy-to-medium Python and SQL under time; a 45-minute build with an AI assistant</t>
  </si>
  <si>
    <t>pandas docs + your own data exports</t>
  </si>
  <si>
    <t>https://pandas.pydata.org/docs/</t>
  </si>
  <si>
    <t>Aced: Databricks FDE interview guide</t>
  </si>
  <si>
    <t>https://www.tryexponent.com/guides/databricks-forward-deployed-engineer-interview</t>
  </si>
  <si>
    <t>Exercism + timed exercises on real CSVs</t>
  </si>
  <si>
    <t>Eight recorded drills</t>
  </si>
  <si>
    <t>Client simulations (four) and learning interviews (four)</t>
  </si>
  <si>
    <t>Hold the room with a hostile stakeholder; learn a concept and apply it in 20 minutes</t>
  </si>
  <si>
    <t>Aced: Cognition FDE interview guide (executive pitch)</t>
  </si>
  <si>
    <t>https://www.tryexponent.com/guides/cognition-forward-deployed-engineer-interview</t>
  </si>
  <si>
    <t>Exponent channel</t>
  </si>
  <si>
    <t>Role-plays with friends; learn-and-apply sessions, recorded</t>
  </si>
  <si>
    <t>Eight recordings with a promises-you-couldn't-keep list</t>
  </si>
  <si>
    <t>STAR stories (ten) and two full-loop simulations</t>
  </si>
  <si>
    <t>Ten stories that cover discovery, conflict, failure, ambiguity, shipping, security, cost, hand-off, leadership, learning</t>
  </si>
  <si>
    <t>Amazon Leadership Principles (as a frame)</t>
  </si>
  <si>
    <t>https://www.amazon.jobs/content/en/our-workplace/leadership-principles</t>
  </si>
  <si>
    <t>Exponent: behavioural mocks</t>
  </si>
  <si>
    <t>Two full loops with a peer or interviewing.io (paid, optional)</t>
  </si>
  <si>
    <t>https://interviewing.io/</t>
  </si>
  <si>
    <t>Story bank and two full-loop debriefs</t>
  </si>
  <si>
    <t>Public proof: three case studies and repos</t>
  </si>
  <si>
    <t>DefenderMate, Kaupex, Dokeo pages with architecture, what broke, what you'd change</t>
  </si>
  <si>
    <t>Design Docs at Google</t>
  </si>
  <si>
    <t>https://www.industrialempathy.com/posts/design-docs-at-google/</t>
  </si>
  <si>
    <t>Write the Docs talks</t>
  </si>
  <si>
    <t>Publish on rasul.in and GitHub</t>
  </si>
  <si>
    <t>Three case studies live</t>
  </si>
  <si>
    <t>Hermes write-up and LinkedIn positioning</t>
  </si>
  <si>
    <t>Profile reads Senior FDE, AI systems; one write-up shared by people who matter</t>
  </si>
  <si>
    <t>Your Hermes deployment</t>
  </si>
  <si>
    <t>n/a</t>
  </si>
  <si>
    <t>Publish and post</t>
  </si>
  <si>
    <t>https://www.linkedin.com/in/rasulshaikh</t>
  </si>
  <si>
    <t>Write-up live; profile updated</t>
  </si>
  <si>
    <t>Target list: 40 companies, referrals, warm intros</t>
  </si>
  <si>
    <t>Forty companies with FDE roles that hire remote or in India, ranked by fit and comp; a referral path for 20</t>
  </si>
  <si>
    <t>Aced guide company list + LinkedIn job search</t>
  </si>
  <si>
    <t>Tracker sheet with owner, status, next step</t>
  </si>
  <si>
    <t>https://www.linkedin.com/jobs/</t>
  </si>
  <si>
    <t>Target sheet with 40 rows</t>
  </si>
  <si>
    <t>Application pipeline: apply in waves, run three or four loops in parallel</t>
  </si>
  <si>
    <t>Two offers in the same two-week window</t>
  </si>
  <si>
    <t>Haseeb Qureshi negotiation rules</t>
  </si>
  <si>
    <t>Weekly pipeline review</t>
  </si>
  <si>
    <t>Pipeline tracker updated weekly</t>
  </si>
  <si>
    <t>Market</t>
  </si>
  <si>
    <t>Band</t>
  </si>
  <si>
    <t>Source</t>
  </si>
  <si>
    <t>What it takes</t>
  </si>
  <si>
    <t>Probability in 9 months (my read)</t>
  </si>
  <si>
    <t>United States, FDE, base</t>
  </si>
  <si>
    <t>$110,000 to $180,000 base; senior total comp above $200,000</t>
  </si>
  <si>
    <t>fde.academy salary guide (Feb 2026)</t>
  </si>
  <si>
    <t>On-site or US-remote; visa or relocation for you</t>
  </si>
  <si>
    <t>Low in 9 months without relocation</t>
  </si>
  <si>
    <t>AI labs and top startups (global)</t>
  </si>
  <si>
    <t>$180,000 to $550,000 total comp depending on experience, company and location</t>
  </si>
  <si>
    <t>taggd.in FDE guide (May 2026)</t>
  </si>
  <si>
    <t>Lab-grade loop; usually US-based; travel</t>
  </si>
  <si>
    <t>Very low in 9 months; realistic at 24-36 months after one US-market FDE role</t>
  </si>
  <si>
    <t>India, global-remote senior FDE</t>
  </si>
  <si>
    <t>Roughly ₹55 to 90 LPA or more for senior and global-remote India roles</t>
  </si>
  <si>
    <t>OwnYourCareer / buildfastwithai bands (Jun-Jul 2026)</t>
  </si>
  <si>
    <t>Remote-first US or EU company paying dollar-linked; strong public proof</t>
  </si>
  <si>
    <t>Realistic in 6-9 months with this plan</t>
  </si>
  <si>
    <t>India, domestic AI startups and GCCs</t>
  </si>
  <si>
    <t>₹28 to 55 LPA at 3-6 years</t>
  </si>
  <si>
    <t>OwnYourCareer bands (Jun 2026)</t>
  </si>
  <si>
    <t>Standard loop; India presence</t>
  </si>
  <si>
    <t>High in 3-6 months</t>
  </si>
  <si>
    <t>UAE, senior AI or FDE-type roles</t>
  </si>
  <si>
    <t>Typical AED 25,000 to 45,000 per month; senior GenAI AED 450,000 to 600,000+ per year; tax free</t>
  </si>
  <si>
    <t>jobxdubai (Michael Page 2026) and jobseekers.ae (Jan 2026)</t>
  </si>
  <si>
    <t>Relocation, employer visa; G42, Hub71 startups, sovereign employers at the top</t>
  </si>
  <si>
    <t>Moderate in 9-12 months with relocation; $250K (about AED 918,000) is top-of-market and rare</t>
  </si>
  <si>
    <t>Your $250K target</t>
  </si>
  <si>
    <t>About ₹2.1 crore, €215,000, or AED 918,000 per year</t>
  </si>
  <si>
    <t>Conversion, Sep 2026</t>
  </si>
  <si>
    <t>US lab or top startup on-site, or a UAE sovereign-tier employer, plus Senior-level proof</t>
  </si>
  <si>
    <t>Not a 9-month target from Pune; a 2-3 year target with one US-market FDE role in between</t>
  </si>
  <si>
    <t>Bands are public estimates gathered September 2026 and vary widely by employer; treat them as anchors for negotiation, not promises. Probability column is my judgment, not data.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</si>
</sst>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11">
    <font>
      <sz val="11.0"/>
      <color theme="1"/>
      <name val="Calibri"/>
      <scheme val="minor"/>
    </font>
    <font>
      <b/>
      <sz val="16.0"/>
      <color rgb="FF1E3A5F"/>
      <name val="Open Sans"/>
    </font>
    <font>
      <b/>
      <sz val="10.0"/>
      <color rgb="FFFFFFFF"/>
      <name val="Open Sans"/>
    </font>
    <font>
      <color theme="1"/>
      <name val="Open Sans"/>
    </font>
    <font>
      <sz val="10.0"/>
      <color theme="1"/>
      <name val="Open Sans"/>
    </font>
    <font>
      <i/>
      <sz val="10.0"/>
      <color rgb="FF5C6370"/>
      <name val="Open Sans"/>
    </font>
    <font>
      <b/>
      <sz val="10.0"/>
      <color rgb="FF0000FF"/>
      <name val="Open Sans"/>
    </font>
    <font>
      <b/>
      <sz val="10.0"/>
      <color theme="1"/>
      <name val="Open Sans"/>
    </font>
    <font>
      <u/>
      <sz val="10.0"/>
      <color rgb="FF0563C1"/>
      <name val="Open Sans"/>
    </font>
    <font>
      <u/>
      <sz val="10.0"/>
      <color rgb="FF0563C1"/>
      <name val="Open Sans"/>
    </font>
    <font>
      <color theme="1"/>
      <name val="Calibri"/>
      <scheme val="minor"/>
    </font>
  </fonts>
  <fills count="7">
    <fill>
      <patternFill patternType="none"/>
    </fill>
    <fill>
      <patternFill patternType="lightGray"/>
    </fill>
    <fill>
      <patternFill patternType="solid">
        <fgColor rgb="FF1E3A5F"/>
        <bgColor rgb="FF1E3A5F"/>
      </patternFill>
    </fill>
    <fill>
      <patternFill patternType="solid">
        <fgColor rgb="FFFFF2CC"/>
        <bgColor rgb="FFFFF2CC"/>
      </patternFill>
    </fill>
    <fill>
      <patternFill patternType="solid">
        <fgColor rgb="FFF4CCCC"/>
        <bgColor rgb="FFF4CCCC"/>
      </patternFill>
    </fill>
    <fill>
      <patternFill patternType="solid">
        <fgColor rgb="FFFCE5CD"/>
        <bgColor rgb="FFFCE5CD"/>
      </patternFill>
    </fill>
    <fill>
      <patternFill patternType="solid">
        <fgColor rgb="FFD9EAD3"/>
        <bgColor rgb="FFD9EAD3"/>
      </patternFill>
    </fill>
  </fills>
  <borders count="2">
    <border/>
    <border>
      <left style="thin">
        <color rgb="FFC9CED6"/>
      </left>
      <right style="thin">
        <color rgb="FFC9CED6"/>
      </right>
      <top style="thin">
        <color rgb="FFC9CED6"/>
      </top>
      <bottom style="thin">
        <color rgb="FFC9CED6"/>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center" shrinkToFit="0" vertical="center" wrapText="1"/>
    </xf>
    <xf borderId="0" fillId="0" fontId="3" numFmtId="0" xfId="0" applyAlignment="1" applyFont="1">
      <alignment vertical="center"/>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0" fillId="0" fontId="5" numFmtId="0" xfId="0" applyAlignment="1" applyFont="1">
      <alignment shrinkToFit="0" vertical="center" wrapText="1"/>
    </xf>
    <xf borderId="1" fillId="2" fontId="2" numFmtId="0" xfId="0" applyAlignment="1" applyBorder="1" applyFill="1" applyFont="1">
      <alignment horizontal="left" shrinkToFit="0" vertical="center" wrapText="1"/>
    </xf>
    <xf borderId="1" fillId="3" fontId="6" numFmtId="0" xfId="0" applyAlignment="1" applyBorder="1" applyFill="1" applyFont="1">
      <alignment horizontal="center" shrinkToFit="0" vertical="center" wrapText="1"/>
    </xf>
    <xf borderId="0" fillId="0" fontId="7" numFmtId="0" xfId="0" applyAlignment="1" applyFont="1">
      <alignment shrinkToFit="0" vertical="center" wrapText="0"/>
    </xf>
    <xf borderId="0" fillId="0" fontId="3" numFmtId="0" xfId="0" applyAlignment="1" applyFont="1">
      <alignment horizontal="left" vertical="center"/>
    </xf>
    <xf borderId="0" fillId="0" fontId="4" numFmtId="0" xfId="0" applyAlignment="1" applyFont="1">
      <alignment shrinkToFit="0" vertical="center" wrapText="0"/>
    </xf>
    <xf borderId="1" fillId="3" fontId="6" numFmtId="0" xfId="0" applyAlignment="1" applyBorder="1" applyFill="1" applyFont="1">
      <alignment horizontal="center" shrinkToFit="0" vertical="center" wrapText="0"/>
    </xf>
    <xf borderId="1" fillId="0" fontId="4" numFmtId="0" xfId="0" applyAlignment="1" applyBorder="1" applyFont="1">
      <alignment horizontal="left" shrinkToFit="0" vertical="center" wrapText="1"/>
    </xf>
    <xf borderId="1" fillId="0" fontId="7" numFmtId="1" xfId="0" applyAlignment="1" applyBorder="1" applyFont="1" applyNumberFormat="1">
      <alignment horizontal="center" shrinkToFit="0" vertical="center" wrapText="0"/>
    </xf>
    <xf borderId="1" fillId="0" fontId="7" numFmtId="164" xfId="0" applyAlignment="1" applyBorder="1" applyFont="1" applyNumberFormat="1">
      <alignment horizontal="center" shrinkToFit="0" vertical="center" wrapText="0"/>
    </xf>
    <xf borderId="1" fillId="0" fontId="8" numFmtId="0" xfId="0" applyAlignment="1" applyBorder="1" applyFont="1">
      <alignment horizontal="left" shrinkToFit="0" vertical="center" wrapText="1"/>
    </xf>
    <xf borderId="1" fillId="0" fontId="9" numFmtId="0" xfId="0" applyAlignment="1" applyBorder="1" applyFont="1">
      <alignment shrinkToFit="0" vertical="center" wrapText="1"/>
    </xf>
    <xf borderId="1" fillId="0" fontId="7" numFmtId="165" xfId="0" applyAlignment="1" applyBorder="1" applyFont="1" applyNumberFormat="1">
      <alignment horizontal="center" shrinkToFit="0" vertical="center" wrapText="0"/>
    </xf>
    <xf borderId="1" fillId="0" fontId="7" numFmtId="0" xfId="0" applyAlignment="1" applyBorder="1" applyFont="1">
      <alignment horizontal="center" shrinkToFit="0" vertical="center" wrapText="0"/>
    </xf>
    <xf borderId="0" fillId="0" fontId="5" numFmtId="0" xfId="0" applyAlignment="1" applyFont="1">
      <alignment shrinkToFit="0" vertical="center" wrapText="0"/>
    </xf>
    <xf borderId="1" fillId="0" fontId="7" numFmtId="49" xfId="0" applyAlignment="1" applyBorder="1" applyFont="1" applyNumberFormat="1">
      <alignment horizontal="center" shrinkToFit="0" vertical="center" wrapText="0"/>
    </xf>
    <xf borderId="1" fillId="0" fontId="4" numFmtId="0" xfId="0" applyAlignment="1" applyBorder="1" applyFont="1">
      <alignment shrinkToFit="0" vertical="center" wrapText="0"/>
    </xf>
    <xf borderId="1" fillId="3" fontId="4" numFmtId="0" xfId="0" applyAlignment="1" applyBorder="1" applyFill="1" applyFont="1">
      <alignment horizontal="center" shrinkToFit="0" vertical="center" wrapText="1"/>
    </xf>
    <xf borderId="1" fillId="0" fontId="4" numFmtId="0" xfId="0" applyAlignment="1" applyBorder="1" applyFont="1">
      <alignment horizontal="center" shrinkToFit="0" vertical="center" wrapText="0"/>
    </xf>
    <xf borderId="1" fillId="3" fontId="4" numFmtId="0" xfId="0" applyAlignment="1" applyBorder="1" applyFill="1" applyFont="1">
      <alignment shrinkToFit="0" vertical="center" wrapText="1"/>
    </xf>
    <xf borderId="1" fillId="0" fontId="4" numFmtId="164" xfId="0" applyAlignment="1" applyBorder="1" applyFont="1" applyNumberFormat="1">
      <alignment horizontal="center" shrinkToFit="0" vertical="center" wrapText="0"/>
    </xf>
    <xf borderId="1" fillId="0" fontId="7" numFmtId="0" xfId="0" applyAlignment="1" applyBorder="1" applyFont="1">
      <alignment shrinkToFit="0" vertical="center" wrapText="0"/>
    </xf>
    <xf borderId="1" fillId="0" fontId="4" numFmtId="165" xfId="0" applyAlignment="1" applyBorder="1" applyFont="1" applyNumberFormat="1">
      <alignment horizontal="center" shrinkToFit="0" vertical="center" wrapText="0"/>
    </xf>
    <xf borderId="0" fillId="0" fontId="10" numFmtId="0" xfId="0" applyFont="1"/>
    <xf borderId="1" fillId="2" fontId="2" numFmtId="0" xfId="0" applyAlignment="1" applyBorder="1" applyFill="1" applyFont="1">
      <alignment horizontal="center" shrinkToFit="0" vertical="top" wrapText="1"/>
    </xf>
    <xf borderId="0" fillId="0" fontId="3" numFmtId="0" xfId="0" applyFont="1"/>
    <xf borderId="1" fillId="0" fontId="4" numFmtId="0" xfId="0" applyAlignment="1" applyBorder="1" applyFont="1">
      <alignment shrinkToFit="0" vertical="top" wrapText="1"/>
    </xf>
    <xf borderId="1" fillId="4" fontId="4" numFmtId="0" xfId="0" applyAlignment="1" applyBorder="1" applyFill="1" applyFont="1">
      <alignment shrinkToFit="0" vertical="top" wrapText="1"/>
    </xf>
    <xf borderId="1" fillId="5" fontId="4" numFmtId="0" xfId="0" applyAlignment="1" applyBorder="1" applyFill="1" applyFont="1">
      <alignment shrinkToFit="0" vertical="top" wrapText="1"/>
    </xf>
    <xf borderId="1" fillId="6" fontId="4" numFmtId="0" xfId="0" applyAlignment="1" applyBorder="1" applyFill="1" applyFont="1">
      <alignment shrinkToFit="0" vertical="top" wrapText="1"/>
    </xf>
    <xf borderId="0" fillId="0" fontId="5" numFmtId="0" xfId="0" applyAlignment="1" applyFont="1">
      <alignment horizontal="center" shrinkToFit="0" vertical="center" wrapText="1"/>
    </xf>
    <xf borderId="0" fillId="0" fontId="3" numFmtId="0" xfId="0" applyAlignment="1" applyFont="1">
      <alignment horizontal="center" vertical="center"/>
    </xf>
  </cellXfs>
  <cellStyles count="1">
    <cellStyle xfId="0" name="Normal" builtinId="0"/>
  </cellStyles>
  <dxfs count="3">
    <dxf>
      <font/>
      <fill>
        <patternFill patternType="solid">
          <fgColor rgb="FFD9EAD3"/>
          <bgColor rgb="FFD9EAD3"/>
        </patternFill>
      </fill>
      <border/>
    </dxf>
    <dxf>
      <font/>
      <fill>
        <patternFill patternType="solid">
          <fgColor rgb="FFFCE5CD"/>
          <bgColor rgb="FFFCE5CD"/>
        </patternFill>
      </fill>
      <border/>
    </dxf>
    <dxf>
      <font/>
      <fill>
        <patternFill patternType="solid">
          <fgColor rgb="FFE7E6E6"/>
          <bgColor rgb="FFE7E6E6"/>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docs.aws.amazon.com/vpc/latest/userguide/what-is-amazon-vpc.html" TargetMode="External"/><Relationship Id="rId190" Type="http://schemas.openxmlformats.org/officeDocument/2006/relationships/hyperlink" Target="https://www.momtestbook.com/" TargetMode="External"/><Relationship Id="rId42" Type="http://schemas.openxmlformats.org/officeDocument/2006/relationships/hyperlink" Target="https://aws.amazon.com/training/digital/aws-cloud-quest/" TargetMode="External"/><Relationship Id="rId41" Type="http://schemas.openxmlformats.org/officeDocument/2006/relationships/hyperlink" Target="https://skillbuilder.aws/" TargetMode="External"/><Relationship Id="rId44" Type="http://schemas.openxmlformats.org/officeDocument/2006/relationships/hyperlink" Target="https://skillbuilder.aws/" TargetMode="External"/><Relationship Id="rId194" Type="http://schemas.openxmlformats.org/officeDocument/2006/relationships/hyperlink" Target="https://developers.google.com/tech-writing" TargetMode="External"/><Relationship Id="rId43" Type="http://schemas.openxmlformats.org/officeDocument/2006/relationships/hyperlink" Target="https://docs.aws.amazon.com/rds/" TargetMode="External"/><Relationship Id="rId193" Type="http://schemas.openxmlformats.org/officeDocument/2006/relationships/hyperlink" Target="https://adr.github.io/" TargetMode="External"/><Relationship Id="rId46" Type="http://schemas.openxmlformats.org/officeDocument/2006/relationships/hyperlink" Target="https://docs.aws.amazon.com/IAM/latest/UserGuide/best-practices.html" TargetMode="External"/><Relationship Id="rId192" Type="http://schemas.openxmlformats.org/officeDocument/2006/relationships/hyperlink" Target="https://www.producttalk.org/" TargetMode="External"/><Relationship Id="rId45" Type="http://schemas.openxmlformats.org/officeDocument/2006/relationships/hyperlink" Target="https://developer.hashicorp.com/terraform/tutorials/aws-get-started" TargetMode="External"/><Relationship Id="rId191" Type="http://schemas.openxmlformats.org/officeDocument/2006/relationships/hyperlink" Target="https://www.producttalk.org/" TargetMode="External"/><Relationship Id="rId48" Type="http://schemas.openxmlformats.org/officeDocument/2006/relationships/hyperlink" Target="http://flaws.cloud/" TargetMode="External"/><Relationship Id="rId187" Type="http://schemas.openxmlformats.org/officeDocument/2006/relationships/hyperlink" Target="https://response.pagerduty.com/" TargetMode="External"/><Relationship Id="rId47" Type="http://schemas.openxmlformats.org/officeDocument/2006/relationships/hyperlink" Target="https://www.youtube.com/@AWSEventsChannel" TargetMode="External"/><Relationship Id="rId186" Type="http://schemas.openxmlformats.org/officeDocument/2006/relationships/hyperlink" Target="https://gdpr.eu/" TargetMode="External"/><Relationship Id="rId185" Type="http://schemas.openxmlformats.org/officeDocument/2006/relationships/hyperlink" Target="https://www.vanta.com/resources" TargetMode="External"/><Relationship Id="rId49" Type="http://schemas.openxmlformats.org/officeDocument/2006/relationships/hyperlink" Target="https://aws.github.io/aws-eks-best-practices/" TargetMode="External"/><Relationship Id="rId184" Type="http://schemas.openxmlformats.org/officeDocument/2006/relationships/hyperlink" Target="https://gdpr.eu/" TargetMode="External"/><Relationship Id="rId189" Type="http://schemas.openxmlformats.org/officeDocument/2006/relationships/hyperlink" Target="https://response.pagerduty.com/" TargetMode="External"/><Relationship Id="rId188" Type="http://schemas.openxmlformats.org/officeDocument/2006/relationships/hyperlink" Target="https://www.youtube.com/@PagerDuty" TargetMode="External"/><Relationship Id="rId31" Type="http://schemas.openxmlformats.org/officeDocument/2006/relationships/hyperlink" Target="https://aws.github.io/aws-eks-best-practices/" TargetMode="External"/><Relationship Id="rId30" Type="http://schemas.openxmlformats.org/officeDocument/2006/relationships/hyperlink" Target="https://helm.sh/docs/" TargetMode="External"/><Relationship Id="rId33" Type="http://schemas.openxmlformats.org/officeDocument/2006/relationships/hyperlink" Target="https://madhuakula.com/kubernetes-goat/" TargetMode="External"/><Relationship Id="rId183" Type="http://schemas.openxmlformats.org/officeDocument/2006/relationships/hyperlink" Target="http://flaws2.cloud/" TargetMode="External"/><Relationship Id="rId32" Type="http://schemas.openxmlformats.org/officeDocument/2006/relationships/hyperlink" Target="https://www.youtube.com/@cncf" TargetMode="External"/><Relationship Id="rId182" Type="http://schemas.openxmlformats.org/officeDocument/2006/relationships/hyperlink" Target="https://www.youtube.com/@cncf" TargetMode="External"/><Relationship Id="rId35" Type="http://schemas.openxmlformats.org/officeDocument/2006/relationships/hyperlink" Target="https://stanford-cs336.github.io/" TargetMode="External"/><Relationship Id="rId181" Type="http://schemas.openxmlformats.org/officeDocument/2006/relationships/hyperlink" Target="https://aws.github.io/aws-eks-best-practices/" TargetMode="External"/><Relationship Id="rId34" Type="http://schemas.openxmlformats.org/officeDocument/2006/relationships/hyperlink" Target="https://docs.vllm.ai/" TargetMode="External"/><Relationship Id="rId180" Type="http://schemas.openxmlformats.org/officeDocument/2006/relationships/hyperlink" Target="https://developer.hashicorp.com/vault/tutorials" TargetMode="External"/><Relationship Id="rId37" Type="http://schemas.openxmlformats.org/officeDocument/2006/relationships/hyperlink" Target="https://developer.hashicorp.com/terraform/tutorials" TargetMode="External"/><Relationship Id="rId176" Type="http://schemas.openxmlformats.org/officeDocument/2006/relationships/hyperlink" Target="https://portswigger.net/web-security" TargetMode="External"/><Relationship Id="rId36" Type="http://schemas.openxmlformats.org/officeDocument/2006/relationships/hyperlink" Target="https://www.runpod.io/" TargetMode="External"/><Relationship Id="rId175" Type="http://schemas.openxmlformats.org/officeDocument/2006/relationships/hyperlink" Target="https://owasp.org/www-project-top-ten/" TargetMode="External"/><Relationship Id="rId39" Type="http://schemas.openxmlformats.org/officeDocument/2006/relationships/hyperlink" Target="https://www.terraformupandrunning.com/" TargetMode="External"/><Relationship Id="rId174" Type="http://schemas.openxmlformats.org/officeDocument/2006/relationships/hyperlink" Target="https://github.com/anthropics/anthropic-cookbook" TargetMode="External"/><Relationship Id="rId38" Type="http://schemas.openxmlformats.org/officeDocument/2006/relationships/hyperlink" Target="https://www.youtube.com/@freecodecamp" TargetMode="External"/><Relationship Id="rId173" Type="http://schemas.openxmlformats.org/officeDocument/2006/relationships/hyperlink" Target="https://www.deeplearning.ai/short-courses/" TargetMode="External"/><Relationship Id="rId179" Type="http://schemas.openxmlformats.org/officeDocument/2006/relationships/hyperlink" Target="https://www.youtube.com/@OWASPGLOBAL" TargetMode="External"/><Relationship Id="rId178" Type="http://schemas.openxmlformats.org/officeDocument/2006/relationships/hyperlink" Target="https://owasp.org/www-community/Threat_Modeling" TargetMode="External"/><Relationship Id="rId177" Type="http://schemas.openxmlformats.org/officeDocument/2006/relationships/hyperlink" Target="https://portswigger.net/web-security" TargetMode="External"/><Relationship Id="rId20" Type="http://schemas.openxmlformats.org/officeDocument/2006/relationships/hyperlink" Target="https://www.youtube.com/@BretFisher" TargetMode="External"/><Relationship Id="rId22" Type="http://schemas.openxmlformats.org/officeDocument/2006/relationships/hyperlink" Target="https://kubernetes.io/docs/concepts/" TargetMode="External"/><Relationship Id="rId21" Type="http://schemas.openxmlformats.org/officeDocument/2006/relationships/hyperlink" Target="https://trivy.dev/" TargetMode="External"/><Relationship Id="rId24" Type="http://schemas.openxmlformats.org/officeDocument/2006/relationships/hyperlink" Target="https://killercoda.com/" TargetMode="External"/><Relationship Id="rId23" Type="http://schemas.openxmlformats.org/officeDocument/2006/relationships/hyperlink" Target="https://www.youtube.com/@TechWorldwithNana" TargetMode="External"/><Relationship Id="rId26" Type="http://schemas.openxmlformats.org/officeDocument/2006/relationships/hyperlink" Target="https://www.youtube.com/@KodeKloud" TargetMode="External"/><Relationship Id="rId25" Type="http://schemas.openxmlformats.org/officeDocument/2006/relationships/hyperlink" Target="https://training.linuxfoundation.org/training/introduction-to-kubernetes/" TargetMode="External"/><Relationship Id="rId28" Type="http://schemas.openxmlformats.org/officeDocument/2006/relationships/hyperlink" Target="https://argo-cd.readthedocs.io/en/stable/getting_started/" TargetMode="External"/><Relationship Id="rId27" Type="http://schemas.openxmlformats.org/officeDocument/2006/relationships/hyperlink" Target="https://killercoda.com/" TargetMode="External"/><Relationship Id="rId29" Type="http://schemas.openxmlformats.org/officeDocument/2006/relationships/hyperlink" Target="https://www.youtube.com/@TechWorldwithNana" TargetMode="External"/><Relationship Id="rId11" Type="http://schemas.openxmlformats.org/officeDocument/2006/relationships/hyperlink" Target="https://www.youtube.com/results?search_query=brendan+gregg+linux+performance+tools" TargetMode="External"/><Relationship Id="rId10" Type="http://schemas.openxmlformats.org/officeDocument/2006/relationships/hyperlink" Target="https://www.brendangregg.com/linuxperf.html" TargetMode="External"/><Relationship Id="rId13" Type="http://schemas.openxmlformats.org/officeDocument/2006/relationships/hyperlink" Target="https://git-scm.com/book/en/v2" TargetMode="External"/><Relationship Id="rId12" Type="http://schemas.openxmlformats.org/officeDocument/2006/relationships/hyperlink" Target="https://sadservers.com/" TargetMode="External"/><Relationship Id="rId15" Type="http://schemas.openxmlformats.org/officeDocument/2006/relationships/hyperlink" Target="https://learngitbranching.js.org/" TargetMode="External"/><Relationship Id="rId198" Type="http://schemas.openxmlformats.org/officeDocument/2006/relationships/hyperlink" Target="https://www.ycombinator.com/library" TargetMode="External"/><Relationship Id="rId14" Type="http://schemas.openxmlformats.org/officeDocument/2006/relationships/hyperlink" Target="https://missing.csail.mit.edu/2020/version-control/" TargetMode="External"/><Relationship Id="rId197" Type="http://schemas.openxmlformats.org/officeDocument/2006/relationships/hyperlink" Target="https://www.ycombinator.com/library" TargetMode="External"/><Relationship Id="rId17" Type="http://schemas.openxmlformats.org/officeDocument/2006/relationships/hyperlink" Target="https://www.youtube.com/@TechWorldwithNana" TargetMode="External"/><Relationship Id="rId196" Type="http://schemas.openxmlformats.org/officeDocument/2006/relationships/hyperlink" Target="https://www.amazon.com/dp/0743212347" TargetMode="External"/><Relationship Id="rId16" Type="http://schemas.openxmlformats.org/officeDocument/2006/relationships/hyperlink" Target="https://docs.docker.com/get-started/" TargetMode="External"/><Relationship Id="rId195" Type="http://schemas.openxmlformats.org/officeDocument/2006/relationships/hyperlink" Target="https://www.writethedocs.org/guide/" TargetMode="External"/><Relationship Id="rId19" Type="http://schemas.openxmlformats.org/officeDocument/2006/relationships/hyperlink" Target="https://docs.docker.com/build/building/best-practices/" TargetMode="External"/><Relationship Id="rId18" Type="http://schemas.openxmlformats.org/officeDocument/2006/relationships/hyperlink" Target="https://labs.play-with-docker.com/" TargetMode="External"/><Relationship Id="rId199" Type="http://schemas.openxmlformats.org/officeDocument/2006/relationships/hyperlink" Target="https://developers.google.com/tech-writing" TargetMode="External"/><Relationship Id="rId84" Type="http://schemas.openxmlformats.org/officeDocument/2006/relationships/hyperlink" Target="https://www.keycloak.org/" TargetMode="External"/><Relationship Id="rId83" Type="http://schemas.openxmlformats.org/officeDocument/2006/relationships/hyperlink" Target="https://www.youtube.com/@OktaDev" TargetMode="External"/><Relationship Id="rId86" Type="http://schemas.openxmlformats.org/officeDocument/2006/relationships/hyperlink" Target="https://www.youtube.com/@mattpocockuk" TargetMode="External"/><Relationship Id="rId85" Type="http://schemas.openxmlformats.org/officeDocument/2006/relationships/hyperlink" Target="https://www.totaltypescript.com/tutorials" TargetMode="External"/><Relationship Id="rId88" Type="http://schemas.openxmlformats.org/officeDocument/2006/relationships/hyperlink" Target="https://use-the-index-luke.com/" TargetMode="External"/><Relationship Id="rId150" Type="http://schemas.openxmlformats.org/officeDocument/2006/relationships/hyperlink" Target="https://gandalf.lakera.ai/" TargetMode="External"/><Relationship Id="rId87" Type="http://schemas.openxmlformats.org/officeDocument/2006/relationships/hyperlink" Target="https://github.com/type-challenges/type-challenges" TargetMode="External"/><Relationship Id="rId89" Type="http://schemas.openxmlformats.org/officeDocument/2006/relationships/hyperlink" Target="https://www.youtube.com/@hnasr" TargetMode="External"/><Relationship Id="rId80" Type="http://schemas.openxmlformats.org/officeDocument/2006/relationships/hyperlink" Target="https://www.youtube.com/@freecodecamp" TargetMode="External"/><Relationship Id="rId82" Type="http://schemas.openxmlformats.org/officeDocument/2006/relationships/hyperlink" Target="https://oauth.net/2/" TargetMode="External"/><Relationship Id="rId81" Type="http://schemas.openxmlformats.org/officeDocument/2006/relationships/hyperlink" Target="https://fastapi.tiangolo.com/tutorial/bigger-applications/" TargetMode="External"/><Relationship Id="rId1" Type="http://schemas.openxmlformats.org/officeDocument/2006/relationships/hyperlink" Target="https://linuxcommand.org/tlcl.php" TargetMode="External"/><Relationship Id="rId2" Type="http://schemas.openxmlformats.org/officeDocument/2006/relationships/hyperlink" Target="https://missing.csail.mit.edu/" TargetMode="External"/><Relationship Id="rId3" Type="http://schemas.openxmlformats.org/officeDocument/2006/relationships/hyperlink" Target="https://overthewire.org/wargames/bandit/" TargetMode="External"/><Relationship Id="rId149" Type="http://schemas.openxmlformats.org/officeDocument/2006/relationships/hyperlink" Target="https://www.youtube.com/@OWASPGLOBAL" TargetMode="External"/><Relationship Id="rId4" Type="http://schemas.openxmlformats.org/officeDocument/2006/relationships/hyperlink" Target="https://linuxjourney.com/" TargetMode="External"/><Relationship Id="rId148" Type="http://schemas.openxmlformats.org/officeDocument/2006/relationships/hyperlink" Target="https://owasp.org/www-project-top-10-for-large-language-model-applications/" TargetMode="External"/><Relationship Id="rId9" Type="http://schemas.openxmlformats.org/officeDocument/2006/relationships/hyperlink" Target="https://protohackers.com/" TargetMode="External"/><Relationship Id="rId143" Type="http://schemas.openxmlformats.org/officeDocument/2006/relationships/hyperlink" Target="https://www.deeplearning.ai/short-courses/" TargetMode="External"/><Relationship Id="rId142" Type="http://schemas.openxmlformats.org/officeDocument/2006/relationships/hyperlink" Target="https://www.anthropic.com/news/contextual-retrieval" TargetMode="External"/><Relationship Id="rId141" Type="http://schemas.openxmlformats.org/officeDocument/2006/relationships/hyperlink" Target="https://huggingface.co/learn/agents-course" TargetMode="External"/><Relationship Id="rId140" Type="http://schemas.openxmlformats.org/officeDocument/2006/relationships/hyperlink" Target="https://www.deeplearning.ai/short-courses/" TargetMode="External"/><Relationship Id="rId5" Type="http://schemas.openxmlformats.org/officeDocument/2006/relationships/hyperlink" Target="https://www.youtube.com/@freecodecamp" TargetMode="External"/><Relationship Id="rId147" Type="http://schemas.openxmlformats.org/officeDocument/2006/relationships/hyperlink" Target="https://colab.research.google.com/" TargetMode="External"/><Relationship Id="rId6" Type="http://schemas.openxmlformats.org/officeDocument/2006/relationships/hyperlink" Target="https://sadservers.com/" TargetMode="External"/><Relationship Id="rId146" Type="http://schemas.openxmlformats.org/officeDocument/2006/relationships/hyperlink" Target="https://huggingface.co/learn/llm-course" TargetMode="External"/><Relationship Id="rId7" Type="http://schemas.openxmlformats.org/officeDocument/2006/relationships/hyperlink" Target="https://hpbn.co/" TargetMode="External"/><Relationship Id="rId145" Type="http://schemas.openxmlformats.org/officeDocument/2006/relationships/hyperlink" Target="https://huggingface.co/docs/peft" TargetMode="External"/><Relationship Id="rId8" Type="http://schemas.openxmlformats.org/officeDocument/2006/relationships/hyperlink" Target="https://www.youtube.com/@hnasr" TargetMode="External"/><Relationship Id="rId144" Type="http://schemas.openxmlformats.org/officeDocument/2006/relationships/hyperlink" Target="https://github.com/anthropics/anthropic-cookbook" TargetMode="External"/><Relationship Id="rId73" Type="http://schemas.openxmlformats.org/officeDocument/2006/relationships/hyperlink" Target="https://docs.aws.amazon.com/wellarchitected/latest/reliability-pillar/welcome.html" TargetMode="External"/><Relationship Id="rId72" Type="http://schemas.openxmlformats.org/officeDocument/2006/relationships/hyperlink" Target="https://sre.google/workbook/table-of-contents/" TargetMode="External"/><Relationship Id="rId75" Type="http://schemas.openxmlformats.org/officeDocument/2006/relationships/hyperlink" Target="https://www.postgresql.org/docs/current/backup.html" TargetMode="External"/><Relationship Id="rId74" Type="http://schemas.openxmlformats.org/officeDocument/2006/relationships/hyperlink" Target="https://www.youtube.com/@AWSEventsChannel" TargetMode="External"/><Relationship Id="rId77" Type="http://schemas.openxmlformats.org/officeDocument/2006/relationships/hyperlink" Target="https://www.youtube.com/@ArjanCodes" TargetMode="External"/><Relationship Id="rId76" Type="http://schemas.openxmlformats.org/officeDocument/2006/relationships/hyperlink" Target="https://www.cosmicpython.com/" TargetMode="External"/><Relationship Id="rId79" Type="http://schemas.openxmlformats.org/officeDocument/2006/relationships/hyperlink" Target="https://fastapi.tiangolo.com/" TargetMode="External"/><Relationship Id="rId78" Type="http://schemas.openxmlformats.org/officeDocument/2006/relationships/hyperlink" Target="https://exercism.org/tracks/python" TargetMode="External"/><Relationship Id="rId71" Type="http://schemas.openxmlformats.org/officeDocument/2006/relationships/hyperlink" Target="https://sre.google/workbook/table-of-contents/" TargetMode="External"/><Relationship Id="rId70" Type="http://schemas.openxmlformats.org/officeDocument/2006/relationships/hyperlink" Target="https://response.pagerduty.com/" TargetMode="External"/><Relationship Id="rId139" Type="http://schemas.openxmlformats.org/officeDocument/2006/relationships/hyperlink" Target="https://www.anthropic.com/engineering/building-effective-agents" TargetMode="External"/><Relationship Id="rId138" Type="http://schemas.openxmlformats.org/officeDocument/2006/relationships/hyperlink" Target="https://modelcontextprotocol.io/" TargetMode="External"/><Relationship Id="rId137" Type="http://schemas.openxmlformats.org/officeDocument/2006/relationships/hyperlink" Target="https://www.youtube.com/@anthropic-ai" TargetMode="External"/><Relationship Id="rId132" Type="http://schemas.openxmlformats.org/officeDocument/2006/relationships/hyperlink" Target="https://www.youtube.com/@AndrejKarpathy" TargetMode="External"/><Relationship Id="rId131" Type="http://schemas.openxmlformats.org/officeDocument/2006/relationships/hyperlink" Target="https://www.youtube.com/@AndrejKarpathy" TargetMode="External"/><Relationship Id="rId130" Type="http://schemas.openxmlformats.org/officeDocument/2006/relationships/hyperlink" Target="https://www.promptingguide.ai/" TargetMode="External"/><Relationship Id="rId136" Type="http://schemas.openxmlformats.org/officeDocument/2006/relationships/hyperlink" Target="https://modelcontextprotocol.io/" TargetMode="External"/><Relationship Id="rId135" Type="http://schemas.openxmlformats.org/officeDocument/2006/relationships/hyperlink" Target="https://github.com/anthropics/courses" TargetMode="External"/><Relationship Id="rId134" Type="http://schemas.openxmlformats.org/officeDocument/2006/relationships/hyperlink" Target="https://www.deeplearning.ai/short-courses/" TargetMode="External"/><Relationship Id="rId133" Type="http://schemas.openxmlformats.org/officeDocument/2006/relationships/hyperlink" Target="https://docs.claude.com/en/docs/build-with-claude/prompt-engineering/overview" TargetMode="External"/><Relationship Id="rId62" Type="http://schemas.openxmlformats.org/officeDocument/2006/relationships/hyperlink" Target="https://www.youtube.com/@googlecloudtech" TargetMode="External"/><Relationship Id="rId61" Type="http://schemas.openxmlformats.org/officeDocument/2006/relationships/hyperlink" Target="https://sre.google/sre-book/table-of-contents/" TargetMode="External"/><Relationship Id="rId64" Type="http://schemas.openxmlformats.org/officeDocument/2006/relationships/hyperlink" Target="https://opentelemetry.io/docs/" TargetMode="External"/><Relationship Id="rId63" Type="http://schemas.openxmlformats.org/officeDocument/2006/relationships/hyperlink" Target="https://grafana.com/" TargetMode="External"/><Relationship Id="rId66" Type="http://schemas.openxmlformats.org/officeDocument/2006/relationships/hyperlink" Target="https://opentelemetry.io/docs/demo/" TargetMode="External"/><Relationship Id="rId172" Type="http://schemas.openxmlformats.org/officeDocument/2006/relationships/hyperlink" Target="https://docs.claude.com/" TargetMode="External"/><Relationship Id="rId65" Type="http://schemas.openxmlformats.org/officeDocument/2006/relationships/hyperlink" Target="https://www.youtube.com/@Grafana" TargetMode="External"/><Relationship Id="rId171" Type="http://schemas.openxmlformats.org/officeDocument/2006/relationships/hyperlink" Target="https://docs.claude.com/" TargetMode="External"/><Relationship Id="rId68" Type="http://schemas.openxmlformats.org/officeDocument/2006/relationships/hyperlink" Target="https://www.youtube.com/@Grafana" TargetMode="External"/><Relationship Id="rId170" Type="http://schemas.openxmlformats.org/officeDocument/2006/relationships/hyperlink" Target="https://www.youtube.com/@anthropic-ai" TargetMode="External"/><Relationship Id="rId67" Type="http://schemas.openxmlformats.org/officeDocument/2006/relationships/hyperlink" Target="https://grafana.com/docs/k6/latest/" TargetMode="External"/><Relationship Id="rId60" Type="http://schemas.openxmlformats.org/officeDocument/2006/relationships/hyperlink" Target="https://calculator.aws/" TargetMode="External"/><Relationship Id="rId165" Type="http://schemas.openxmlformats.org/officeDocument/2006/relationships/hyperlink" Target="https://docs.vllm.ai/" TargetMode="External"/><Relationship Id="rId69" Type="http://schemas.openxmlformats.org/officeDocument/2006/relationships/hyperlink" Target="https://chaos-mesh.org/" TargetMode="External"/><Relationship Id="rId164" Type="http://schemas.openxmlformats.org/officeDocument/2006/relationships/hyperlink" Target="https://stanford-cs336.github.io/" TargetMode="External"/><Relationship Id="rId163" Type="http://schemas.openxmlformats.org/officeDocument/2006/relationships/hyperlink" Target="https://lilianweng.github.io/posts/2023-01-10-inference-optimization/" TargetMode="External"/><Relationship Id="rId162" Type="http://schemas.openxmlformats.org/officeDocument/2006/relationships/hyperlink" Target="https://docs.litellm.ai/" TargetMode="External"/><Relationship Id="rId169" Type="http://schemas.openxmlformats.org/officeDocument/2006/relationships/hyperlink" Target="https://docs.claude.com/en/docs/build-with-claude/prompt-caching" TargetMode="External"/><Relationship Id="rId168" Type="http://schemas.openxmlformats.org/officeDocument/2006/relationships/hyperlink" Target="https://docs.evidentlyai.com/" TargetMode="External"/><Relationship Id="rId167" Type="http://schemas.openxmlformats.org/officeDocument/2006/relationships/hyperlink" Target="https://www.youtube.com/@EvidentlyAI" TargetMode="External"/><Relationship Id="rId166" Type="http://schemas.openxmlformats.org/officeDocument/2006/relationships/hyperlink" Target="https://mlflow.org/docs/latest/" TargetMode="External"/><Relationship Id="rId51" Type="http://schemas.openxmlformats.org/officeDocument/2006/relationships/hyperlink" Target="https://www.eksworkshop.com/" TargetMode="External"/><Relationship Id="rId50" Type="http://schemas.openxmlformats.org/officeDocument/2006/relationships/hyperlink" Target="https://www.eksworkshop.com/" TargetMode="External"/><Relationship Id="rId53" Type="http://schemas.openxmlformats.org/officeDocument/2006/relationships/hyperlink" Target="https://www.youtube.com/@googlecloudtech" TargetMode="External"/><Relationship Id="rId52" Type="http://schemas.openxmlformats.org/officeDocument/2006/relationships/hyperlink" Target="https://cloud.google.com/docs/get-started/aws-azure-gcp-service-comparison" TargetMode="External"/><Relationship Id="rId55" Type="http://schemas.openxmlformats.org/officeDocument/2006/relationships/hyperlink" Target="https://docs.github.com/en/actions" TargetMode="External"/><Relationship Id="rId161" Type="http://schemas.openxmlformats.org/officeDocument/2006/relationships/hyperlink" Target="https://docs.litellm.ai/" TargetMode="External"/><Relationship Id="rId54" Type="http://schemas.openxmlformats.org/officeDocument/2006/relationships/hyperlink" Target="https://www.cloudskillsboost.google/" TargetMode="External"/><Relationship Id="rId160" Type="http://schemas.openxmlformats.org/officeDocument/2006/relationships/hyperlink" Target="https://docs.litellm.ai/" TargetMode="External"/><Relationship Id="rId57" Type="http://schemas.openxmlformats.org/officeDocument/2006/relationships/hyperlink" Target="https://docs.github.com/en/actions" TargetMode="External"/><Relationship Id="rId56" Type="http://schemas.openxmlformats.org/officeDocument/2006/relationships/hyperlink" Target="https://www.youtube.com/@TechWorldwithNana" TargetMode="External"/><Relationship Id="rId159" Type="http://schemas.openxmlformats.org/officeDocument/2006/relationships/hyperlink" Target="https://langfuse.com/docs" TargetMode="External"/><Relationship Id="rId59" Type="http://schemas.openxmlformats.org/officeDocument/2006/relationships/hyperlink" Target="https://skillbuilder.aws/" TargetMode="External"/><Relationship Id="rId154" Type="http://schemas.openxmlformats.org/officeDocument/2006/relationships/hyperlink" Target="https://hamel.dev/blog/posts/evals/" TargetMode="External"/><Relationship Id="rId58" Type="http://schemas.openxmlformats.org/officeDocument/2006/relationships/hyperlink" Target="https://www.finops.org/framework/" TargetMode="External"/><Relationship Id="rId153" Type="http://schemas.openxmlformats.org/officeDocument/2006/relationships/hyperlink" Target="https://github.com/NousResearch/hermes-agent" TargetMode="External"/><Relationship Id="rId152" Type="http://schemas.openxmlformats.org/officeDocument/2006/relationships/hyperlink" Target="https://github.com/NousResearch" TargetMode="External"/><Relationship Id="rId151" Type="http://schemas.openxmlformats.org/officeDocument/2006/relationships/hyperlink" Target="https://github.com/NousResearch/hermes-agent" TargetMode="External"/><Relationship Id="rId158" Type="http://schemas.openxmlformats.org/officeDocument/2006/relationships/hyperlink" Target="https://www.youtube.com/@langfuse" TargetMode="External"/><Relationship Id="rId157" Type="http://schemas.openxmlformats.org/officeDocument/2006/relationships/hyperlink" Target="https://langfuse.com/docs" TargetMode="External"/><Relationship Id="rId156" Type="http://schemas.openxmlformats.org/officeDocument/2006/relationships/hyperlink" Target="https://www.promptfoo.dev/docs/intro" TargetMode="External"/><Relationship Id="rId155" Type="http://schemas.openxmlformats.org/officeDocument/2006/relationships/hyperlink" Target="https://www.evidentlyai.com/llm-evaluations-course" TargetMode="External"/><Relationship Id="rId107" Type="http://schemas.openxmlformats.org/officeDocument/2006/relationships/hyperlink" Target="https://learn.getdbt.com/" TargetMode="External"/><Relationship Id="rId228" Type="http://schemas.openxmlformats.org/officeDocument/2006/relationships/hyperlink" Target="https://www.tryexponent.com/practice" TargetMode="External"/><Relationship Id="rId106" Type="http://schemas.openxmlformats.org/officeDocument/2006/relationships/hyperlink" Target="https://docs.getdbt.com/" TargetMode="External"/><Relationship Id="rId227" Type="http://schemas.openxmlformats.org/officeDocument/2006/relationships/hyperlink" Target="https://www.youtube.com/@tryexponent" TargetMode="External"/><Relationship Id="rId105" Type="http://schemas.openxmlformats.org/officeDocument/2006/relationships/hyperlink" Target="https://schemathesis.readthedocs.io/" TargetMode="External"/><Relationship Id="rId226" Type="http://schemas.openxmlformats.org/officeDocument/2006/relationships/hyperlink" Target="https://www.tryexponent.com/guides/cognition-forward-deployed-engineer-interview" TargetMode="External"/><Relationship Id="rId104" Type="http://schemas.openxmlformats.org/officeDocument/2006/relationships/hyperlink" Target="https://www.youtube.com/@ArjanCodes" TargetMode="External"/><Relationship Id="rId225" Type="http://schemas.openxmlformats.org/officeDocument/2006/relationships/hyperlink" Target="https://exercism.org/tracks/python" TargetMode="External"/><Relationship Id="rId109" Type="http://schemas.openxmlformats.org/officeDocument/2006/relationships/hyperlink" Target="https://spark.apache.org/docs/latest/api/python/getting_started/index.html" TargetMode="External"/><Relationship Id="rId108" Type="http://schemas.openxmlformats.org/officeDocument/2006/relationships/hyperlink" Target="https://duckdb.org/docs/" TargetMode="External"/><Relationship Id="rId229" Type="http://schemas.openxmlformats.org/officeDocument/2006/relationships/hyperlink" Target="https://www.amazon.jobs/content/en/our-workplace/leadership-principles" TargetMode="External"/><Relationship Id="rId220" Type="http://schemas.openxmlformats.org/officeDocument/2006/relationships/hyperlink" Target="https://www.hellointerview.com/learn/system-design/in-a-hurry/introduction" TargetMode="External"/><Relationship Id="rId103" Type="http://schemas.openxmlformats.org/officeDocument/2006/relationships/hyperlink" Target="https://schemathesis.readthedocs.io/" TargetMode="External"/><Relationship Id="rId224" Type="http://schemas.openxmlformats.org/officeDocument/2006/relationships/hyperlink" Target="https://www.tryexponent.com/guides/databricks-forward-deployed-engineer-interview" TargetMode="External"/><Relationship Id="rId102" Type="http://schemas.openxmlformats.org/officeDocument/2006/relationships/hyperlink" Target="https://learn.temporal.io/courses/" TargetMode="External"/><Relationship Id="rId223" Type="http://schemas.openxmlformats.org/officeDocument/2006/relationships/hyperlink" Target="https://pandas.pydata.org/docs/" TargetMode="External"/><Relationship Id="rId101" Type="http://schemas.openxmlformats.org/officeDocument/2006/relationships/hyperlink" Target="https://www.youtube.com/@Temporalio" TargetMode="External"/><Relationship Id="rId222" Type="http://schemas.openxmlformats.org/officeDocument/2006/relationships/hyperlink" Target="https://www.tryexponent.com/practice" TargetMode="External"/><Relationship Id="rId100" Type="http://schemas.openxmlformats.org/officeDocument/2006/relationships/hyperlink" Target="https://docs.temporal.io/" TargetMode="External"/><Relationship Id="rId221" Type="http://schemas.openxmlformats.org/officeDocument/2006/relationships/hyperlink" Target="https://www.youtube.com/@ByteByteGo" TargetMode="External"/><Relationship Id="rId217" Type="http://schemas.openxmlformats.org/officeDocument/2006/relationships/hyperlink" Target="https://www.tryexponent.com/blog/forward-deployed-engineer-interview-the-definitive-2026-guide-fde" TargetMode="External"/><Relationship Id="rId216" Type="http://schemas.openxmlformats.org/officeDocument/2006/relationships/hyperlink" Target="https://github.com/anthropics/anthropic-cookbook" TargetMode="External"/><Relationship Id="rId215" Type="http://schemas.openxmlformats.org/officeDocument/2006/relationships/hyperlink" Target="https://www.tryexponent.com/guides/openai-forward-deployed-engineer-interview" TargetMode="External"/><Relationship Id="rId214" Type="http://schemas.openxmlformats.org/officeDocument/2006/relationships/hyperlink" Target="https://github.com/anthropics/anthropic-cookbook" TargetMode="External"/><Relationship Id="rId219" Type="http://schemas.openxmlformats.org/officeDocument/2006/relationships/hyperlink" Target="https://www.tryexponent.com/practice" TargetMode="External"/><Relationship Id="rId218" Type="http://schemas.openxmlformats.org/officeDocument/2006/relationships/hyperlink" Target="https://www.finalroundai.com/blog/forward-deployed-engineer-interview" TargetMode="External"/><Relationship Id="rId213" Type="http://schemas.openxmlformats.org/officeDocument/2006/relationships/hyperlink" Target="https://www.tryexponent.com/practice" TargetMode="External"/><Relationship Id="rId212" Type="http://schemas.openxmlformats.org/officeDocument/2006/relationships/hyperlink" Target="https://www.youtube.com/@tryexponent" TargetMode="External"/><Relationship Id="rId211" Type="http://schemas.openxmlformats.org/officeDocument/2006/relationships/hyperlink" Target="https://github.com/rasulshaikh" TargetMode="External"/><Relationship Id="rId210" Type="http://schemas.openxmlformats.org/officeDocument/2006/relationships/hyperlink" Target="https://www.tryexponent.com/practice" TargetMode="External"/><Relationship Id="rId129" Type="http://schemas.openxmlformats.org/officeDocument/2006/relationships/hyperlink" Target="https://www.tryexponent.com/practice" TargetMode="External"/><Relationship Id="rId128" Type="http://schemas.openxmlformats.org/officeDocument/2006/relationships/hyperlink" Target="https://www.youtube.com/@tryexponent" TargetMode="External"/><Relationship Id="rId127" Type="http://schemas.openxmlformats.org/officeDocument/2006/relationships/hyperlink" Target="https://www.hellointerview.com/learn/system-design/in-a-hurry/introduction" TargetMode="External"/><Relationship Id="rId126" Type="http://schemas.openxmlformats.org/officeDocument/2006/relationships/hyperlink" Target="https://fullstackdeeplearning.com/llm-bootcamp/" TargetMode="External"/><Relationship Id="rId121" Type="http://schemas.openxmlformats.org/officeDocument/2006/relationships/hyperlink" Target="https://github.com/donnemartin/system-design-primer" TargetMode="External"/><Relationship Id="rId120" Type="http://schemas.openxmlformats.org/officeDocument/2006/relationships/hyperlink" Target="https://pdos.csail.mit.edu/6.824/" TargetMode="External"/><Relationship Id="rId241" Type="http://schemas.openxmlformats.org/officeDocument/2006/relationships/drawing" Target="../drawings/drawing2.xml"/><Relationship Id="rId240" Type="http://schemas.openxmlformats.org/officeDocument/2006/relationships/hyperlink" Target="https://www.linkedin.com/jobs/" TargetMode="External"/><Relationship Id="rId125" Type="http://schemas.openxmlformats.org/officeDocument/2006/relationships/hyperlink" Target="https://fullstackdeeplearning.com/llm-bootcamp/" TargetMode="External"/><Relationship Id="rId124" Type="http://schemas.openxmlformats.org/officeDocument/2006/relationships/hyperlink" Target="https://eugeneyan.com/writing/llm-patterns/" TargetMode="External"/><Relationship Id="rId123" Type="http://schemas.openxmlformats.org/officeDocument/2006/relationships/hyperlink" Target="https://www.hellointerview.com/learn/system-design/in-a-hurry/introduction" TargetMode="External"/><Relationship Id="rId122" Type="http://schemas.openxmlformats.org/officeDocument/2006/relationships/hyperlink" Target="https://www.youtube.com/@ByteByteGo" TargetMode="External"/><Relationship Id="rId95" Type="http://schemas.openxmlformats.org/officeDocument/2006/relationships/hyperlink" Target="https://university.redis.io/" TargetMode="External"/><Relationship Id="rId94" Type="http://schemas.openxmlformats.org/officeDocument/2006/relationships/hyperlink" Target="https://redis.io/docs/latest/" TargetMode="External"/><Relationship Id="rId97" Type="http://schemas.openxmlformats.org/officeDocument/2006/relationships/hyperlink" Target="https://developer.confluent.io/" TargetMode="External"/><Relationship Id="rId96" Type="http://schemas.openxmlformats.org/officeDocument/2006/relationships/hyperlink" Target="https://university.redis.io/" TargetMode="External"/><Relationship Id="rId99" Type="http://schemas.openxmlformats.org/officeDocument/2006/relationships/hyperlink" Target="https://docs.redpanda.com/" TargetMode="External"/><Relationship Id="rId98" Type="http://schemas.openxmlformats.org/officeDocument/2006/relationships/hyperlink" Target="https://developer.confluent.io/courses/" TargetMode="External"/><Relationship Id="rId91" Type="http://schemas.openxmlformats.org/officeDocument/2006/relationships/hyperlink" Target="https://www.postgresql.org/docs/current/ddl-rowsecurity.html" TargetMode="External"/><Relationship Id="rId90" Type="http://schemas.openxmlformats.org/officeDocument/2006/relationships/hyperlink" Target="https://pgexercises.com/" TargetMode="External"/><Relationship Id="rId93" Type="http://schemas.openxmlformats.org/officeDocument/2006/relationships/hyperlink" Target="https://www.postgresql.org/docs/current/ddl-rowsecurity.html" TargetMode="External"/><Relationship Id="rId92" Type="http://schemas.openxmlformats.org/officeDocument/2006/relationships/hyperlink" Target="https://www.youtube.com/@Supabase" TargetMode="External"/><Relationship Id="rId118" Type="http://schemas.openxmlformats.org/officeDocument/2006/relationships/hyperlink" Target="https://pdos.csail.mit.edu/6.824/" TargetMode="External"/><Relationship Id="rId239" Type="http://schemas.openxmlformats.org/officeDocument/2006/relationships/hyperlink" Target="https://haseebq.com/my-ten-rules-for-negotiating-a-job-offer/" TargetMode="External"/><Relationship Id="rId117" Type="http://schemas.openxmlformats.org/officeDocument/2006/relationships/hyperlink" Target="https://pdos.csail.mit.edu/6.824/" TargetMode="External"/><Relationship Id="rId238" Type="http://schemas.openxmlformats.org/officeDocument/2006/relationships/hyperlink" Target="https://www.linkedin.com/jobs/" TargetMode="External"/><Relationship Id="rId116" Type="http://schemas.openxmlformats.org/officeDocument/2006/relationships/hyperlink" Target="https://pdos.csail.mit.edu/6.824/" TargetMode="External"/><Relationship Id="rId237" Type="http://schemas.openxmlformats.org/officeDocument/2006/relationships/hyperlink" Target="https://www.tryexponent.com/blog/forward-deployed-engineer-interview-the-definitive-2026-guide-fde" TargetMode="External"/><Relationship Id="rId115" Type="http://schemas.openxmlformats.org/officeDocument/2006/relationships/hyperlink" Target="https://pdos.csail.mit.edu/6.824/schedule.html" TargetMode="External"/><Relationship Id="rId236" Type="http://schemas.openxmlformats.org/officeDocument/2006/relationships/hyperlink" Target="https://www.linkedin.com/in/rasulshaikh" TargetMode="External"/><Relationship Id="rId119" Type="http://schemas.openxmlformats.org/officeDocument/2006/relationships/hyperlink" Target="https://pdos.csail.mit.edu/6.824/" TargetMode="External"/><Relationship Id="rId110" Type="http://schemas.openxmlformats.org/officeDocument/2006/relationships/hyperlink" Target="https://www.youtube.com/@Databricks" TargetMode="External"/><Relationship Id="rId231" Type="http://schemas.openxmlformats.org/officeDocument/2006/relationships/hyperlink" Target="https://interviewing.io/" TargetMode="External"/><Relationship Id="rId230" Type="http://schemas.openxmlformats.org/officeDocument/2006/relationships/hyperlink" Target="https://www.youtube.com/@tryexponent" TargetMode="External"/><Relationship Id="rId114" Type="http://schemas.openxmlformats.org/officeDocument/2006/relationships/hyperlink" Target="https://fly.io/dist-sys/" TargetMode="External"/><Relationship Id="rId235" Type="http://schemas.openxmlformats.org/officeDocument/2006/relationships/hyperlink" Target="https://github.com/NousResearch/hermes-agent" TargetMode="External"/><Relationship Id="rId113" Type="http://schemas.openxmlformats.org/officeDocument/2006/relationships/hyperlink" Target="https://www.youtube.com/@kleppmann" TargetMode="External"/><Relationship Id="rId234" Type="http://schemas.openxmlformats.org/officeDocument/2006/relationships/hyperlink" Target="https://github.com/rasulshaikh" TargetMode="External"/><Relationship Id="rId112" Type="http://schemas.openxmlformats.org/officeDocument/2006/relationships/hyperlink" Target="https://dataintensive.net/" TargetMode="External"/><Relationship Id="rId233" Type="http://schemas.openxmlformats.org/officeDocument/2006/relationships/hyperlink" Target="https://www.youtube.com/@WriteTheDocs" TargetMode="External"/><Relationship Id="rId111" Type="http://schemas.openxmlformats.org/officeDocument/2006/relationships/hyperlink" Target="https://spark.apache.org/docs/latest/api/python/getting_started/index.html" TargetMode="External"/><Relationship Id="rId232" Type="http://schemas.openxmlformats.org/officeDocument/2006/relationships/hyperlink" Target="https://www.industrialempathy.com/posts/design-docs-at-google/" TargetMode="External"/><Relationship Id="rId206" Type="http://schemas.openxmlformats.org/officeDocument/2006/relationships/hyperlink" Target="https://www.youtube.com/@a16z" TargetMode="External"/><Relationship Id="rId205" Type="http://schemas.openxmlformats.org/officeDocument/2006/relationships/hyperlink" Target="https://www.hhs.gov/hipaa/for-professionals/index.html" TargetMode="External"/><Relationship Id="rId204" Type="http://schemas.openxmlformats.org/officeDocument/2006/relationships/hyperlink" Target="https://haseebq.com/my-ten-rules-for-negotiating-a-job-offer/" TargetMode="External"/><Relationship Id="rId203" Type="http://schemas.openxmlformats.org/officeDocument/2006/relationships/hyperlink" Target="https://www.levels.fyi/" TargetMode="External"/><Relationship Id="rId209" Type="http://schemas.openxmlformats.org/officeDocument/2006/relationships/hyperlink" Target="https://www.youtube.com/@tryexponent" TargetMode="External"/><Relationship Id="rId208" Type="http://schemas.openxmlformats.org/officeDocument/2006/relationships/hyperlink" Target="https://www.tryexponent.com/blog/forward-deployed-engineer-interview-the-definitive-2026-guide-fde" TargetMode="External"/><Relationship Id="rId207" Type="http://schemas.openxmlformats.org/officeDocument/2006/relationships/hyperlink" Target="https://www.hhs.gov/hipaa/for-professionals/index.html" TargetMode="External"/><Relationship Id="rId202" Type="http://schemas.openxmlformats.org/officeDocument/2006/relationships/hyperlink" Target="https://haseebq.com/my-ten-rules-for-negotiating-a-job-offer/" TargetMode="External"/><Relationship Id="rId201" Type="http://schemas.openxmlformats.org/officeDocument/2006/relationships/hyperlink" Target="https://www.writethedocs.org/guide/" TargetMode="External"/><Relationship Id="rId200" Type="http://schemas.openxmlformats.org/officeDocument/2006/relationships/hyperlink" Target="https://www.youtube.com/@WriteTheDoc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www.scaler.com/scaler-ai-forward-deployed-engineer-detailed-curriculum" TargetMode="External"/><Relationship Id="rId10" Type="http://schemas.openxmlformats.org/officeDocument/2006/relationships/hyperlink" Target="https://fde.academy/blog/forward-deployed-engineer-job-description" TargetMode="External"/><Relationship Id="rId13" Type="http://schemas.openxmlformats.org/officeDocument/2006/relationships/hyperlink" Target="https://sre.google/" TargetMode="External"/><Relationship Id="rId12" Type="http://schemas.openxmlformats.org/officeDocument/2006/relationships/hyperlink" Target="https://blog.palantir.com/" TargetMode="External"/><Relationship Id="rId15" Type="http://schemas.openxmlformats.org/officeDocument/2006/relationships/hyperlink" Target="https://www.deeplearning.ai/short-courses/" TargetMode="External"/><Relationship Id="rId14" Type="http://schemas.openxmlformats.org/officeDocument/2006/relationships/hyperlink" Target="https://huggingface.co/learn" TargetMode="External"/><Relationship Id="rId16" Type="http://schemas.openxmlformats.org/officeDocument/2006/relationships/drawing" Target="../drawings/drawing4.xml"/><Relationship Id="rId1" Type="http://schemas.openxmlformats.org/officeDocument/2006/relationships/hyperlink" Target="https://roadmap.sh/devops" TargetMode="External"/><Relationship Id="rId2" Type="http://schemas.openxmlformats.org/officeDocument/2006/relationships/hyperlink" Target="https://roadmap.sh/backend" TargetMode="External"/><Relationship Id="rId3" Type="http://schemas.openxmlformats.org/officeDocument/2006/relationships/hyperlink" Target="https://roadmap.sh/ai-engineer" TargetMode="External"/><Relationship Id="rId4" Type="http://schemas.openxmlformats.org/officeDocument/2006/relationships/hyperlink" Target="https://roadmap.sh/ai-agents" TargetMode="External"/><Relationship Id="rId9" Type="http://schemas.openxmlformats.org/officeDocument/2006/relationships/hyperlink" Target="https://medium.com/@shivanathd/the-forward-deployed-engineer-interview-has-six-rounds-365df0544e2c" TargetMode="External"/><Relationship Id="rId5" Type="http://schemas.openxmlformats.org/officeDocument/2006/relationships/hyperlink" Target="https://roadmap.sh/system-design" TargetMode="External"/><Relationship Id="rId6" Type="http://schemas.openxmlformats.org/officeDocument/2006/relationships/hyperlink" Target="https://roadmap.sh/mlops" TargetMode="External"/><Relationship Id="rId7" Type="http://schemas.openxmlformats.org/officeDocument/2006/relationships/hyperlink" Target="https://www.tryexponent.com/blog/forward-deployed-engineer-interview-the-definitive-2026-guide-fde" TargetMode="External"/><Relationship Id="rId8" Type="http://schemas.openxmlformats.org/officeDocument/2006/relationships/hyperlink" Target="https://www.tryexponent.com/guides/openai-forward-deployed-engineer-inter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6.0"/>
    <col customWidth="1" min="2" max="8" width="15.0"/>
    <col customWidth="1" min="9" max="26" width="8.71"/>
  </cols>
  <sheetData>
    <row r="1">
      <c r="A1" s="1" t="s">
        <v>1</v>
      </c>
      <c r="B1" s="3"/>
      <c r="C1" s="3"/>
      <c r="D1" s="3"/>
      <c r="E1" s="3"/>
      <c r="F1" s="3"/>
      <c r="G1" s="3"/>
      <c r="H1" s="3"/>
      <c r="I1" s="3"/>
      <c r="J1" s="3"/>
      <c r="K1" s="3"/>
      <c r="L1" s="3"/>
      <c r="M1" s="3"/>
      <c r="N1" s="3"/>
      <c r="O1" s="3"/>
      <c r="P1" s="3"/>
      <c r="Q1" s="3"/>
      <c r="R1" s="3"/>
      <c r="S1" s="3"/>
      <c r="T1" s="3"/>
      <c r="U1" s="3"/>
      <c r="V1" s="3"/>
      <c r="W1" s="3"/>
      <c r="X1" s="3"/>
      <c r="Y1" s="3"/>
      <c r="Z1" s="3"/>
    </row>
    <row r="2" ht="31.5" customHeight="1">
      <c r="A2" s="6" t="s">
        <v>29</v>
      </c>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9" t="s">
        <v>36</v>
      </c>
      <c r="B4" s="3"/>
      <c r="C4" s="3"/>
      <c r="D4" s="3"/>
      <c r="E4" s="3"/>
      <c r="F4" s="3"/>
      <c r="G4" s="3"/>
      <c r="H4" s="3"/>
      <c r="I4" s="3"/>
      <c r="J4" s="3"/>
      <c r="K4" s="3"/>
      <c r="L4" s="3"/>
      <c r="M4" s="3"/>
      <c r="N4" s="3"/>
      <c r="O4" s="3"/>
      <c r="P4" s="3"/>
      <c r="Q4" s="3"/>
      <c r="R4" s="3"/>
      <c r="S4" s="3"/>
      <c r="T4" s="3"/>
      <c r="U4" s="3"/>
      <c r="V4" s="3"/>
      <c r="W4" s="3"/>
      <c r="X4" s="3"/>
      <c r="Y4" s="3"/>
      <c r="Z4" s="3"/>
    </row>
    <row r="5">
      <c r="A5" s="11" t="s">
        <v>39</v>
      </c>
      <c r="B5" s="12">
        <v>16.0</v>
      </c>
      <c r="C5" s="3"/>
      <c r="D5" s="3"/>
      <c r="E5" s="3"/>
      <c r="F5" s="3"/>
      <c r="G5" s="3"/>
      <c r="H5" s="3"/>
      <c r="I5" s="3"/>
      <c r="J5" s="3"/>
      <c r="K5" s="3"/>
      <c r="L5" s="3"/>
      <c r="M5" s="3"/>
      <c r="N5" s="3"/>
      <c r="O5" s="3"/>
      <c r="P5" s="3"/>
      <c r="Q5" s="3"/>
      <c r="R5" s="3"/>
      <c r="S5" s="3"/>
      <c r="T5" s="3"/>
      <c r="U5" s="3"/>
      <c r="V5" s="3"/>
      <c r="W5" s="3"/>
      <c r="X5" s="3"/>
      <c r="Y5" s="3"/>
      <c r="Z5" s="3"/>
    </row>
    <row r="6">
      <c r="A6" s="11" t="s">
        <v>42</v>
      </c>
      <c r="B6" s="12">
        <v>1.0</v>
      </c>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9" t="s">
        <v>43</v>
      </c>
      <c r="B8" s="3"/>
      <c r="C8" s="3"/>
      <c r="D8" s="3"/>
      <c r="E8" s="3"/>
      <c r="F8" s="3"/>
      <c r="G8" s="3"/>
      <c r="H8" s="3"/>
      <c r="I8" s="3"/>
      <c r="J8" s="3"/>
      <c r="K8" s="3"/>
      <c r="L8" s="3"/>
      <c r="M8" s="3"/>
      <c r="N8" s="3"/>
      <c r="O8" s="3"/>
      <c r="P8" s="3"/>
      <c r="Q8" s="3"/>
      <c r="R8" s="3"/>
      <c r="S8" s="3"/>
      <c r="T8" s="3"/>
      <c r="U8" s="3"/>
      <c r="V8" s="3"/>
      <c r="W8" s="3"/>
      <c r="X8" s="3"/>
      <c r="Y8" s="3"/>
      <c r="Z8" s="3"/>
    </row>
    <row r="9">
      <c r="A9" s="11" t="s">
        <v>44</v>
      </c>
      <c r="B9" s="14">
        <f>COUNTA(Plan!A2:A400)</f>
        <v>81</v>
      </c>
      <c r="C9" s="3"/>
      <c r="D9" s="3"/>
      <c r="E9" s="3"/>
      <c r="F9" s="3"/>
      <c r="G9" s="3"/>
      <c r="H9" s="3"/>
      <c r="I9" s="3"/>
      <c r="J9" s="3"/>
      <c r="K9" s="3"/>
      <c r="L9" s="3"/>
      <c r="M9" s="3"/>
      <c r="N9" s="3"/>
      <c r="O9" s="3"/>
      <c r="P9" s="3"/>
      <c r="Q9" s="3"/>
      <c r="R9" s="3"/>
      <c r="S9" s="3"/>
      <c r="T9" s="3"/>
      <c r="U9" s="3"/>
      <c r="V9" s="3"/>
      <c r="W9" s="3"/>
      <c r="X9" s="3"/>
      <c r="Y9" s="3"/>
      <c r="Z9" s="3"/>
    </row>
    <row r="10">
      <c r="A10" s="11" t="s">
        <v>48</v>
      </c>
      <c r="B10" s="14">
        <f>COUNTIF(Plan!P2:P400,"Skipped")</f>
        <v>2</v>
      </c>
      <c r="C10" s="3"/>
      <c r="D10" s="3"/>
      <c r="E10" s="3"/>
      <c r="F10" s="3"/>
      <c r="G10" s="3"/>
      <c r="H10" s="3"/>
      <c r="I10" s="3"/>
      <c r="J10" s="3"/>
      <c r="K10" s="3"/>
      <c r="L10" s="3"/>
      <c r="M10" s="3"/>
      <c r="N10" s="3"/>
      <c r="O10" s="3"/>
      <c r="P10" s="3"/>
      <c r="Q10" s="3"/>
      <c r="R10" s="3"/>
      <c r="S10" s="3"/>
      <c r="T10" s="3"/>
      <c r="U10" s="3"/>
      <c r="V10" s="3"/>
      <c r="W10" s="3"/>
      <c r="X10" s="3"/>
      <c r="Y10" s="3"/>
      <c r="Z10" s="3"/>
    </row>
    <row r="11">
      <c r="A11" s="11" t="s">
        <v>52</v>
      </c>
      <c r="B11" s="14">
        <f>COUNTIF(Plan!P2:P400,"Done")</f>
        <v>0</v>
      </c>
      <c r="C11" s="3"/>
      <c r="D11" s="3"/>
      <c r="E11" s="3"/>
      <c r="F11" s="3"/>
      <c r="G11" s="3"/>
      <c r="H11" s="3"/>
      <c r="I11" s="3"/>
      <c r="J11" s="3"/>
      <c r="K11" s="3"/>
      <c r="L11" s="3"/>
      <c r="M11" s="3"/>
      <c r="N11" s="3"/>
      <c r="O11" s="3"/>
      <c r="P11" s="3"/>
      <c r="Q11" s="3"/>
      <c r="R11" s="3"/>
      <c r="S11" s="3"/>
      <c r="T11" s="3"/>
      <c r="U11" s="3"/>
      <c r="V11" s="3"/>
      <c r="W11" s="3"/>
      <c r="X11" s="3"/>
      <c r="Y11" s="3"/>
      <c r="Z11" s="3"/>
    </row>
    <row r="12">
      <c r="A12" s="11" t="s">
        <v>56</v>
      </c>
      <c r="B12" s="14">
        <f>COUNTIF(Plan!P2:P400,"In progress")</f>
        <v>0</v>
      </c>
      <c r="C12" s="3"/>
      <c r="D12" s="3"/>
      <c r="E12" s="3"/>
      <c r="F12" s="3"/>
      <c r="G12" s="3"/>
      <c r="H12" s="3"/>
      <c r="I12" s="3"/>
      <c r="J12" s="3"/>
      <c r="K12" s="3"/>
      <c r="L12" s="3"/>
      <c r="M12" s="3"/>
      <c r="N12" s="3"/>
      <c r="O12" s="3"/>
      <c r="P12" s="3"/>
      <c r="Q12" s="3"/>
      <c r="R12" s="3"/>
      <c r="S12" s="3"/>
      <c r="T12" s="3"/>
      <c r="U12" s="3"/>
      <c r="V12" s="3"/>
      <c r="W12" s="3"/>
      <c r="X12" s="3"/>
      <c r="Y12" s="3"/>
      <c r="Z12" s="3"/>
    </row>
    <row r="13">
      <c r="A13" s="11" t="s">
        <v>60</v>
      </c>
      <c r="B13" s="15">
        <f>IF((B9-B10)=0,0,B11/(B9-B10))</f>
        <v>0</v>
      </c>
      <c r="C13" s="3"/>
      <c r="D13" s="3"/>
      <c r="E13" s="3"/>
      <c r="F13" s="3"/>
      <c r="G13" s="3"/>
      <c r="H13" s="3"/>
      <c r="I13" s="3"/>
      <c r="J13" s="3"/>
      <c r="K13" s="3"/>
      <c r="L13" s="3"/>
      <c r="M13" s="3"/>
      <c r="N13" s="3"/>
      <c r="O13" s="3"/>
      <c r="P13" s="3"/>
      <c r="Q13" s="3"/>
      <c r="R13" s="3"/>
      <c r="S13" s="3"/>
      <c r="T13" s="3"/>
      <c r="U13" s="3"/>
      <c r="V13" s="3"/>
      <c r="W13" s="3"/>
      <c r="X13" s="3"/>
      <c r="Y13" s="3"/>
      <c r="Z13" s="3"/>
    </row>
    <row r="14">
      <c r="A14" s="11" t="s">
        <v>64</v>
      </c>
      <c r="B14" s="14">
        <f>SUMIF(Plan!P2:P400,"&lt;&gt;Skipped",Plan!N2:N400)</f>
        <v>612</v>
      </c>
      <c r="C14" s="3"/>
      <c r="D14" s="3"/>
      <c r="E14" s="3"/>
      <c r="F14" s="3"/>
      <c r="G14" s="3"/>
      <c r="H14" s="3"/>
      <c r="I14" s="3"/>
      <c r="J14" s="3"/>
      <c r="K14" s="3"/>
      <c r="L14" s="3"/>
      <c r="M14" s="3"/>
      <c r="N14" s="3"/>
      <c r="O14" s="3"/>
      <c r="P14" s="3"/>
      <c r="Q14" s="3"/>
      <c r="R14" s="3"/>
      <c r="S14" s="3"/>
      <c r="T14" s="3"/>
      <c r="U14" s="3"/>
      <c r="V14" s="3"/>
      <c r="W14" s="3"/>
      <c r="X14" s="3"/>
      <c r="Y14" s="3"/>
      <c r="Z14" s="3"/>
    </row>
    <row r="15">
      <c r="A15" s="11" t="s">
        <v>69</v>
      </c>
      <c r="B15" s="14">
        <f>SUMIF(Plan!P2:P400,"Done",Plan!N2:N400)</f>
        <v>0</v>
      </c>
      <c r="C15" s="3"/>
      <c r="D15" s="3"/>
      <c r="E15" s="3"/>
      <c r="F15" s="3"/>
      <c r="G15" s="3"/>
      <c r="H15" s="3"/>
      <c r="I15" s="3"/>
      <c r="J15" s="3"/>
      <c r="K15" s="3"/>
      <c r="L15" s="3"/>
      <c r="M15" s="3"/>
      <c r="N15" s="3"/>
      <c r="O15" s="3"/>
      <c r="P15" s="3"/>
      <c r="Q15" s="3"/>
      <c r="R15" s="3"/>
      <c r="S15" s="3"/>
      <c r="T15" s="3"/>
      <c r="U15" s="3"/>
      <c r="V15" s="3"/>
      <c r="W15" s="3"/>
      <c r="X15" s="3"/>
      <c r="Y15" s="3"/>
      <c r="Z15" s="3"/>
    </row>
    <row r="16">
      <c r="A16" s="11" t="s">
        <v>21</v>
      </c>
      <c r="B16" s="14">
        <f>B14-B15</f>
        <v>612</v>
      </c>
      <c r="C16" s="3"/>
      <c r="D16" s="3"/>
      <c r="E16" s="3"/>
      <c r="F16" s="3"/>
      <c r="G16" s="3"/>
      <c r="H16" s="3"/>
      <c r="I16" s="3"/>
      <c r="J16" s="3"/>
      <c r="K16" s="3"/>
      <c r="L16" s="3"/>
      <c r="M16" s="3"/>
      <c r="N16" s="3"/>
      <c r="O16" s="3"/>
      <c r="P16" s="3"/>
      <c r="Q16" s="3"/>
      <c r="R16" s="3"/>
      <c r="S16" s="3"/>
      <c r="T16" s="3"/>
      <c r="U16" s="3"/>
      <c r="V16" s="3"/>
      <c r="W16" s="3"/>
      <c r="X16" s="3"/>
      <c r="Y16" s="3"/>
      <c r="Z16" s="3"/>
    </row>
    <row r="17">
      <c r="A17" s="11" t="s">
        <v>78</v>
      </c>
      <c r="B17" s="18">
        <f>IF(B5=0,0,B16/B5)</f>
        <v>38.25</v>
      </c>
      <c r="C17" s="3"/>
      <c r="D17" s="3"/>
      <c r="E17" s="3"/>
      <c r="F17" s="3"/>
      <c r="G17" s="3"/>
      <c r="H17" s="3"/>
      <c r="I17" s="3"/>
      <c r="J17" s="3"/>
      <c r="K17" s="3"/>
      <c r="L17" s="3"/>
      <c r="M17" s="3"/>
      <c r="N17" s="3"/>
      <c r="O17" s="3"/>
      <c r="P17" s="3"/>
      <c r="Q17" s="3"/>
      <c r="R17" s="3"/>
      <c r="S17" s="3"/>
      <c r="T17" s="3"/>
      <c r="U17" s="3"/>
      <c r="V17" s="3"/>
      <c r="W17" s="3"/>
      <c r="X17" s="3"/>
      <c r="Y17" s="3"/>
      <c r="Z17" s="3"/>
    </row>
    <row r="18">
      <c r="A18" s="11" t="s">
        <v>86</v>
      </c>
      <c r="B18" s="18">
        <f>B17/4.33</f>
        <v>8.833718245</v>
      </c>
      <c r="C18" s="3"/>
      <c r="D18" s="3"/>
      <c r="E18" s="3"/>
      <c r="F18" s="3"/>
      <c r="G18" s="3"/>
      <c r="H18" s="3"/>
      <c r="I18" s="3"/>
      <c r="J18" s="3"/>
      <c r="K18" s="3"/>
      <c r="L18" s="3"/>
      <c r="M18" s="3"/>
      <c r="N18" s="3"/>
      <c r="O18" s="3"/>
      <c r="P18" s="3"/>
      <c r="Q18" s="3"/>
      <c r="R18" s="3"/>
      <c r="S18" s="3"/>
      <c r="T18" s="3"/>
      <c r="U18" s="3"/>
      <c r="V18" s="3"/>
      <c r="W18" s="3"/>
      <c r="X18" s="3"/>
      <c r="Y18" s="3"/>
      <c r="Z18" s="3"/>
    </row>
    <row r="19">
      <c r="A19" s="11" t="s">
        <v>93</v>
      </c>
      <c r="B19" s="14">
        <f>COUNTIF(Plan!B2:B400,B6)</f>
        <v>8</v>
      </c>
      <c r="C19" s="3"/>
      <c r="D19" s="3"/>
      <c r="E19" s="3"/>
      <c r="F19" s="3"/>
      <c r="G19" s="3"/>
      <c r="H19" s="3"/>
      <c r="I19" s="3"/>
      <c r="J19" s="3"/>
      <c r="K19" s="3"/>
      <c r="L19" s="3"/>
      <c r="M19" s="3"/>
      <c r="N19" s="3"/>
      <c r="O19" s="3"/>
      <c r="P19" s="3"/>
      <c r="Q19" s="3"/>
      <c r="R19" s="3"/>
      <c r="S19" s="3"/>
      <c r="T19" s="3"/>
      <c r="U19" s="3"/>
      <c r="V19" s="3"/>
      <c r="W19" s="3"/>
      <c r="X19" s="3"/>
      <c r="Y19" s="3"/>
      <c r="Z19" s="3"/>
    </row>
    <row r="20">
      <c r="A20" s="11" t="s">
        <v>97</v>
      </c>
      <c r="B20" s="14">
        <f>SUMIFS(Plan!N2:N400,Plan!B2:B400,B6,Plan!P2:P400,"&lt;&gt;Skipped")</f>
        <v>60</v>
      </c>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11" t="s">
        <v>99</v>
      </c>
      <c r="B21" s="21" t="str">
        <f>Mocks!G13&amp;" / "&amp;Mocks!B13</f>
        <v>0 / 57</v>
      </c>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9" t="s">
        <v>103</v>
      </c>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2" t="s">
        <v>0</v>
      </c>
      <c r="B24" s="2" t="s">
        <v>107</v>
      </c>
      <c r="C24" s="2" t="s">
        <v>52</v>
      </c>
      <c r="D24" s="2" t="s">
        <v>108</v>
      </c>
      <c r="E24" s="2" t="s">
        <v>109</v>
      </c>
      <c r="F24" s="2" t="s">
        <v>110</v>
      </c>
      <c r="G24" s="2" t="s">
        <v>69</v>
      </c>
      <c r="H24" s="2" t="s">
        <v>111</v>
      </c>
      <c r="I24" s="3"/>
      <c r="J24" s="3"/>
      <c r="K24" s="3"/>
      <c r="L24" s="3"/>
      <c r="M24" s="3"/>
      <c r="N24" s="3"/>
      <c r="O24" s="3"/>
      <c r="P24" s="3"/>
      <c r="Q24" s="3"/>
      <c r="R24" s="3"/>
      <c r="S24" s="3"/>
      <c r="T24" s="3"/>
      <c r="U24" s="3"/>
      <c r="V24" s="3"/>
      <c r="W24" s="3"/>
      <c r="X24" s="3"/>
      <c r="Y24" s="3"/>
      <c r="Z24" s="3"/>
    </row>
    <row r="25" ht="15.75" customHeight="1">
      <c r="A25" s="22" t="s">
        <v>26</v>
      </c>
      <c r="B25" s="24">
        <f>COUNTIF(Plan!$A$2:$A$400,A25)</f>
        <v>5</v>
      </c>
      <c r="C25" s="24">
        <f>COUNTIFS(Plan!$A$2:$A$400,A25,Plan!$P$2:$P$400,"Done")</f>
        <v>0</v>
      </c>
      <c r="D25" s="24">
        <f>COUNTIFS(Plan!$A$2:$A$400,A25,Plan!$P$2:$P$400,"Skipped")</f>
        <v>0</v>
      </c>
      <c r="E25" s="26">
        <f t="shared" ref="E25:E37" si="1">IF((B25-D25)=0,0,C25/(B25-D25))</f>
        <v>0</v>
      </c>
      <c r="F25" s="24">
        <f>SUMIFS(Plan!$N$2:$N$400,Plan!$A$2:$A$400,A25,Plan!$P$2:$P$400,"&lt;&gt;Skipped")</f>
        <v>34</v>
      </c>
      <c r="G25" s="24">
        <f>SUMIFS(Plan!$N$2:$N$400,Plan!$A$2:$A$400,A25,Plan!$P$2:$P$400,"Done")</f>
        <v>0</v>
      </c>
      <c r="H25" s="24">
        <f t="shared" ref="H25:H36" si="2">F25-G25</f>
        <v>34</v>
      </c>
      <c r="I25" s="3"/>
      <c r="J25" s="3"/>
      <c r="K25" s="3"/>
      <c r="L25" s="3"/>
      <c r="M25" s="3"/>
      <c r="N25" s="3"/>
      <c r="O25" s="3"/>
      <c r="P25" s="3"/>
      <c r="Q25" s="3"/>
      <c r="R25" s="3"/>
      <c r="S25" s="3"/>
      <c r="T25" s="3"/>
      <c r="U25" s="3"/>
      <c r="V25" s="3"/>
      <c r="W25" s="3"/>
      <c r="X25" s="3"/>
      <c r="Y25" s="3"/>
      <c r="Z25" s="3"/>
    </row>
    <row r="26" ht="15.75" customHeight="1">
      <c r="A26" s="22" t="s">
        <v>138</v>
      </c>
      <c r="B26" s="24">
        <f>COUNTIF(Plan!$A$2:$A$400,A26)</f>
        <v>7</v>
      </c>
      <c r="C26" s="24">
        <f>COUNTIFS(Plan!$A$2:$A$400,A26,Plan!$P$2:$P$400,"Done")</f>
        <v>0</v>
      </c>
      <c r="D26" s="24">
        <f>COUNTIFS(Plan!$A$2:$A$400,A26,Plan!$P$2:$P$400,"Skipped")</f>
        <v>0</v>
      </c>
      <c r="E26" s="26">
        <f t="shared" si="1"/>
        <v>0</v>
      </c>
      <c r="F26" s="24">
        <f>SUMIFS(Plan!$N$2:$N$400,Plan!$A$2:$A$400,A26,Plan!$P$2:$P$400,"&lt;&gt;Skipped")</f>
        <v>62</v>
      </c>
      <c r="G26" s="24">
        <f>SUMIFS(Plan!$N$2:$N$400,Plan!$A$2:$A$400,A26,Plan!$P$2:$P$400,"Done")</f>
        <v>0</v>
      </c>
      <c r="H26" s="24">
        <f t="shared" si="2"/>
        <v>62</v>
      </c>
      <c r="I26" s="3"/>
      <c r="J26" s="3"/>
      <c r="K26" s="3"/>
      <c r="L26" s="3"/>
      <c r="M26" s="3"/>
      <c r="N26" s="3"/>
      <c r="O26" s="3"/>
      <c r="P26" s="3"/>
      <c r="Q26" s="3"/>
      <c r="R26" s="3"/>
      <c r="S26" s="3"/>
      <c r="T26" s="3"/>
      <c r="U26" s="3"/>
      <c r="V26" s="3"/>
      <c r="W26" s="3"/>
      <c r="X26" s="3"/>
      <c r="Y26" s="3"/>
      <c r="Z26" s="3"/>
    </row>
    <row r="27" ht="15.75" customHeight="1">
      <c r="A27" s="22" t="s">
        <v>153</v>
      </c>
      <c r="B27" s="24">
        <f>COUNTIF(Plan!$A$2:$A$400,A27)</f>
        <v>8</v>
      </c>
      <c r="C27" s="24">
        <f>COUNTIFS(Plan!$A$2:$A$400,A27,Plan!$P$2:$P$400,"Done")</f>
        <v>0</v>
      </c>
      <c r="D27" s="24">
        <f>COUNTIFS(Plan!$A$2:$A$400,A27,Plan!$P$2:$P$400,"Skipped")</f>
        <v>0</v>
      </c>
      <c r="E27" s="26">
        <f t="shared" si="1"/>
        <v>0</v>
      </c>
      <c r="F27" s="24">
        <f>SUMIFS(Plan!$N$2:$N$400,Plan!$A$2:$A$400,A27,Plan!$P$2:$P$400,"&lt;&gt;Skipped")</f>
        <v>55</v>
      </c>
      <c r="G27" s="24">
        <f>SUMIFS(Plan!$N$2:$N$400,Plan!$A$2:$A$400,A27,Plan!$P$2:$P$400,"Done")</f>
        <v>0</v>
      </c>
      <c r="H27" s="24">
        <f t="shared" si="2"/>
        <v>55</v>
      </c>
      <c r="I27" s="3"/>
      <c r="J27" s="3"/>
      <c r="K27" s="3"/>
      <c r="L27" s="3"/>
      <c r="M27" s="3"/>
      <c r="N27" s="3"/>
      <c r="O27" s="3"/>
      <c r="P27" s="3"/>
      <c r="Q27" s="3"/>
      <c r="R27" s="3"/>
      <c r="S27" s="3"/>
      <c r="T27" s="3"/>
      <c r="U27" s="3"/>
      <c r="V27" s="3"/>
      <c r="W27" s="3"/>
      <c r="X27" s="3"/>
      <c r="Y27" s="3"/>
      <c r="Z27" s="3"/>
    </row>
    <row r="28" ht="15.75" customHeight="1">
      <c r="A28" s="22" t="s">
        <v>171</v>
      </c>
      <c r="B28" s="24">
        <f>COUNTIF(Plan!$A$2:$A$400,A28)</f>
        <v>5</v>
      </c>
      <c r="C28" s="24">
        <f>COUNTIFS(Plan!$A$2:$A$400,A28,Plan!$P$2:$P$400,"Done")</f>
        <v>0</v>
      </c>
      <c r="D28" s="24">
        <f>COUNTIFS(Plan!$A$2:$A$400,A28,Plan!$P$2:$P$400,"Skipped")</f>
        <v>0</v>
      </c>
      <c r="E28" s="26">
        <f t="shared" si="1"/>
        <v>0</v>
      </c>
      <c r="F28" s="24">
        <f>SUMIFS(Plan!$N$2:$N$400,Plan!$A$2:$A$400,A28,Plan!$P$2:$P$400,"&lt;&gt;Skipped")</f>
        <v>34</v>
      </c>
      <c r="G28" s="24">
        <f>SUMIFS(Plan!$N$2:$N$400,Plan!$A$2:$A$400,A28,Plan!$P$2:$P$400,"Done")</f>
        <v>0</v>
      </c>
      <c r="H28" s="24">
        <f t="shared" si="2"/>
        <v>34</v>
      </c>
      <c r="I28" s="3"/>
      <c r="J28" s="3"/>
      <c r="K28" s="3"/>
      <c r="L28" s="3"/>
      <c r="M28" s="3"/>
      <c r="N28" s="3"/>
      <c r="O28" s="3"/>
      <c r="P28" s="3"/>
      <c r="Q28" s="3"/>
      <c r="R28" s="3"/>
      <c r="S28" s="3"/>
      <c r="T28" s="3"/>
      <c r="U28" s="3"/>
      <c r="V28" s="3"/>
      <c r="W28" s="3"/>
      <c r="X28" s="3"/>
      <c r="Y28" s="3"/>
      <c r="Z28" s="3"/>
    </row>
    <row r="29" ht="15.75" customHeight="1">
      <c r="A29" s="22" t="s">
        <v>182</v>
      </c>
      <c r="B29" s="24">
        <f>COUNTIF(Plan!$A$2:$A$400,A29)</f>
        <v>12</v>
      </c>
      <c r="C29" s="24">
        <f>COUNTIFS(Plan!$A$2:$A$400,A29,Plan!$P$2:$P$400,"Done")</f>
        <v>0</v>
      </c>
      <c r="D29" s="24">
        <f>COUNTIFS(Plan!$A$2:$A$400,A29,Plan!$P$2:$P$400,"Skipped")</f>
        <v>1</v>
      </c>
      <c r="E29" s="26">
        <f t="shared" si="1"/>
        <v>0</v>
      </c>
      <c r="F29" s="24">
        <f>SUMIFS(Plan!$N$2:$N$400,Plan!$A$2:$A$400,A29,Plan!$P$2:$P$400,"&lt;&gt;Skipped")</f>
        <v>84</v>
      </c>
      <c r="G29" s="24">
        <f>SUMIFS(Plan!$N$2:$N$400,Plan!$A$2:$A$400,A29,Plan!$P$2:$P$400,"Done")</f>
        <v>0</v>
      </c>
      <c r="H29" s="24">
        <f t="shared" si="2"/>
        <v>84</v>
      </c>
      <c r="I29" s="3"/>
      <c r="J29" s="3"/>
      <c r="K29" s="3"/>
      <c r="L29" s="3"/>
      <c r="M29" s="3"/>
      <c r="N29" s="3"/>
      <c r="O29" s="3"/>
      <c r="P29" s="3"/>
      <c r="Q29" s="3"/>
      <c r="R29" s="3"/>
      <c r="S29" s="3"/>
      <c r="T29" s="3"/>
      <c r="U29" s="3"/>
      <c r="V29" s="3"/>
      <c r="W29" s="3"/>
      <c r="X29" s="3"/>
      <c r="Y29" s="3"/>
      <c r="Z29" s="3"/>
    </row>
    <row r="30" ht="15.75" customHeight="1">
      <c r="A30" s="22" t="s">
        <v>193</v>
      </c>
      <c r="B30" s="24">
        <f>COUNTIF(Plan!$A$2:$A$400,A30)</f>
        <v>6</v>
      </c>
      <c r="C30" s="24">
        <f>COUNTIFS(Plan!$A$2:$A$400,A30,Plan!$P$2:$P$400,"Done")</f>
        <v>0</v>
      </c>
      <c r="D30" s="24">
        <f>COUNTIFS(Plan!$A$2:$A$400,A30,Plan!$P$2:$P$400,"Skipped")</f>
        <v>1</v>
      </c>
      <c r="E30" s="26">
        <f t="shared" si="1"/>
        <v>0</v>
      </c>
      <c r="F30" s="24">
        <f>SUMIFS(Plan!$N$2:$N$400,Plan!$A$2:$A$400,A30,Plan!$P$2:$P$400,"&lt;&gt;Skipped")</f>
        <v>52</v>
      </c>
      <c r="G30" s="24">
        <f>SUMIFS(Plan!$N$2:$N$400,Plan!$A$2:$A$400,A30,Plan!$P$2:$P$400,"Done")</f>
        <v>0</v>
      </c>
      <c r="H30" s="24">
        <f t="shared" si="2"/>
        <v>52</v>
      </c>
      <c r="I30" s="3"/>
      <c r="J30" s="3"/>
      <c r="K30" s="3"/>
      <c r="L30" s="3"/>
      <c r="M30" s="3"/>
      <c r="N30" s="3"/>
      <c r="O30" s="3"/>
      <c r="P30" s="3"/>
      <c r="Q30" s="3"/>
      <c r="R30" s="3"/>
      <c r="S30" s="3"/>
      <c r="T30" s="3"/>
      <c r="U30" s="3"/>
      <c r="V30" s="3"/>
      <c r="W30" s="3"/>
      <c r="X30" s="3"/>
      <c r="Y30" s="3"/>
      <c r="Z30" s="3"/>
    </row>
    <row r="31" ht="15.75" customHeight="1">
      <c r="A31" s="22" t="s">
        <v>201</v>
      </c>
      <c r="B31" s="24">
        <f>COUNTIF(Plan!$A$2:$A$400,A31)</f>
        <v>8</v>
      </c>
      <c r="C31" s="24">
        <f>COUNTIFS(Plan!$A$2:$A$400,A31,Plan!$P$2:$P$400,"Done")</f>
        <v>0</v>
      </c>
      <c r="D31" s="24">
        <f>COUNTIFS(Plan!$A$2:$A$400,A31,Plan!$P$2:$P$400,"Skipped")</f>
        <v>0</v>
      </c>
      <c r="E31" s="26">
        <f t="shared" si="1"/>
        <v>0</v>
      </c>
      <c r="F31" s="24">
        <f>SUMIFS(Plan!$N$2:$N$400,Plan!$A$2:$A$400,A31,Plan!$P$2:$P$400,"&lt;&gt;Skipped")</f>
        <v>66</v>
      </c>
      <c r="G31" s="24">
        <f>SUMIFS(Plan!$N$2:$N$400,Plan!$A$2:$A$400,A31,Plan!$P$2:$P$400,"Done")</f>
        <v>0</v>
      </c>
      <c r="H31" s="24">
        <f t="shared" si="2"/>
        <v>66</v>
      </c>
      <c r="I31" s="3"/>
      <c r="J31" s="3"/>
      <c r="K31" s="3"/>
      <c r="L31" s="3"/>
      <c r="M31" s="3"/>
      <c r="N31" s="3"/>
      <c r="O31" s="3"/>
      <c r="P31" s="3"/>
      <c r="Q31" s="3"/>
      <c r="R31" s="3"/>
      <c r="S31" s="3"/>
      <c r="T31" s="3"/>
      <c r="U31" s="3"/>
      <c r="V31" s="3"/>
      <c r="W31" s="3"/>
      <c r="X31" s="3"/>
      <c r="Y31" s="3"/>
      <c r="Z31" s="3"/>
    </row>
    <row r="32" ht="15.75" customHeight="1">
      <c r="A32" s="22" t="s">
        <v>204</v>
      </c>
      <c r="B32" s="24">
        <f>COUNTIF(Plan!$A$2:$A$400,A32)</f>
        <v>7</v>
      </c>
      <c r="C32" s="24">
        <f>COUNTIFS(Plan!$A$2:$A$400,A32,Plan!$P$2:$P$400,"Done")</f>
        <v>0</v>
      </c>
      <c r="D32" s="24">
        <f>COUNTIFS(Plan!$A$2:$A$400,A32,Plan!$P$2:$P$400,"Skipped")</f>
        <v>0</v>
      </c>
      <c r="E32" s="26">
        <f t="shared" si="1"/>
        <v>0</v>
      </c>
      <c r="F32" s="24">
        <f>SUMIFS(Plan!$N$2:$N$400,Plan!$A$2:$A$400,A32,Plan!$P$2:$P$400,"&lt;&gt;Skipped")</f>
        <v>50</v>
      </c>
      <c r="G32" s="24">
        <f>SUMIFS(Plan!$N$2:$N$400,Plan!$A$2:$A$400,A32,Plan!$P$2:$P$400,"Done")</f>
        <v>0</v>
      </c>
      <c r="H32" s="24">
        <f t="shared" si="2"/>
        <v>50</v>
      </c>
      <c r="I32" s="3"/>
      <c r="J32" s="3"/>
      <c r="K32" s="3"/>
      <c r="L32" s="3"/>
      <c r="M32" s="3"/>
      <c r="N32" s="3"/>
      <c r="O32" s="3"/>
      <c r="P32" s="3"/>
      <c r="Q32" s="3"/>
      <c r="R32" s="3"/>
      <c r="S32" s="3"/>
      <c r="T32" s="3"/>
      <c r="U32" s="3"/>
      <c r="V32" s="3"/>
      <c r="W32" s="3"/>
      <c r="X32" s="3"/>
      <c r="Y32" s="3"/>
      <c r="Z32" s="3"/>
    </row>
    <row r="33" ht="15.75" customHeight="1">
      <c r="A33" s="22" t="s">
        <v>210</v>
      </c>
      <c r="B33" s="24">
        <f>COUNTIF(Plan!$A$2:$A$400,A33)</f>
        <v>5</v>
      </c>
      <c r="C33" s="24">
        <f>COUNTIFS(Plan!$A$2:$A$400,A33,Plan!$P$2:$P$400,"Done")</f>
        <v>0</v>
      </c>
      <c r="D33" s="24">
        <f>COUNTIFS(Plan!$A$2:$A$400,A33,Plan!$P$2:$P$400,"Skipped")</f>
        <v>0</v>
      </c>
      <c r="E33" s="26">
        <f t="shared" si="1"/>
        <v>0</v>
      </c>
      <c r="F33" s="24">
        <f>SUMIFS(Plan!$N$2:$N$400,Plan!$A$2:$A$400,A33,Plan!$P$2:$P$400,"&lt;&gt;Skipped")</f>
        <v>32</v>
      </c>
      <c r="G33" s="24">
        <f>SUMIFS(Plan!$N$2:$N$400,Plan!$A$2:$A$400,A33,Plan!$P$2:$P$400,"Done")</f>
        <v>0</v>
      </c>
      <c r="H33" s="24">
        <f t="shared" si="2"/>
        <v>32</v>
      </c>
      <c r="I33" s="3"/>
      <c r="J33" s="3"/>
      <c r="K33" s="3"/>
      <c r="L33" s="3"/>
      <c r="M33" s="3"/>
      <c r="N33" s="3"/>
      <c r="O33" s="3"/>
      <c r="P33" s="3"/>
      <c r="Q33" s="3"/>
      <c r="R33" s="3"/>
      <c r="S33" s="3"/>
      <c r="T33" s="3"/>
      <c r="U33" s="3"/>
      <c r="V33" s="3"/>
      <c r="W33" s="3"/>
      <c r="X33" s="3"/>
      <c r="Y33" s="3"/>
      <c r="Z33" s="3"/>
    </row>
    <row r="34" ht="15.75" customHeight="1">
      <c r="A34" s="22" t="s">
        <v>219</v>
      </c>
      <c r="B34" s="24">
        <f>COUNTIF(Plan!$A$2:$A$400,A34)</f>
        <v>6</v>
      </c>
      <c r="C34" s="24">
        <f>COUNTIFS(Plan!$A$2:$A$400,A34,Plan!$P$2:$P$400,"Done")</f>
        <v>0</v>
      </c>
      <c r="D34" s="24">
        <f>COUNTIFS(Plan!$A$2:$A$400,A34,Plan!$P$2:$P$400,"Skipped")</f>
        <v>0</v>
      </c>
      <c r="E34" s="26">
        <f t="shared" si="1"/>
        <v>0</v>
      </c>
      <c r="F34" s="24">
        <f>SUMIFS(Plan!$N$2:$N$400,Plan!$A$2:$A$400,A34,Plan!$P$2:$P$400,"&lt;&gt;Skipped")</f>
        <v>41</v>
      </c>
      <c r="G34" s="24">
        <f>SUMIFS(Plan!$N$2:$N$400,Plan!$A$2:$A$400,A34,Plan!$P$2:$P$400,"Done")</f>
        <v>0</v>
      </c>
      <c r="H34" s="24">
        <f t="shared" si="2"/>
        <v>41</v>
      </c>
      <c r="I34" s="3"/>
      <c r="J34" s="3"/>
      <c r="K34" s="3"/>
      <c r="L34" s="3"/>
      <c r="M34" s="3"/>
      <c r="N34" s="3"/>
      <c r="O34" s="3"/>
      <c r="P34" s="3"/>
      <c r="Q34" s="3"/>
      <c r="R34" s="3"/>
      <c r="S34" s="3"/>
      <c r="T34" s="3"/>
      <c r="U34" s="3"/>
      <c r="V34" s="3"/>
      <c r="W34" s="3"/>
      <c r="X34" s="3"/>
      <c r="Y34" s="3"/>
      <c r="Z34" s="3"/>
    </row>
    <row r="35" ht="15.75" customHeight="1">
      <c r="A35" s="22" t="s">
        <v>222</v>
      </c>
      <c r="B35" s="24">
        <f>COUNTIF(Plan!$A$2:$A$400,A35)</f>
        <v>8</v>
      </c>
      <c r="C35" s="24">
        <f>COUNTIFS(Plan!$A$2:$A$400,A35,Plan!$P$2:$P$400,"Done")</f>
        <v>0</v>
      </c>
      <c r="D35" s="24">
        <f>COUNTIFS(Plan!$A$2:$A$400,A35,Plan!$P$2:$P$400,"Skipped")</f>
        <v>0</v>
      </c>
      <c r="E35" s="26">
        <f t="shared" si="1"/>
        <v>0</v>
      </c>
      <c r="F35" s="24">
        <f>SUMIFS(Plan!$N$2:$N$400,Plan!$A$2:$A$400,A35,Plan!$P$2:$P$400,"&lt;&gt;Skipped")</f>
        <v>72</v>
      </c>
      <c r="G35" s="24">
        <f>SUMIFS(Plan!$N$2:$N$400,Plan!$A$2:$A$400,A35,Plan!$P$2:$P$400,"Done")</f>
        <v>0</v>
      </c>
      <c r="H35" s="24">
        <f t="shared" si="2"/>
        <v>72</v>
      </c>
      <c r="I35" s="3"/>
      <c r="J35" s="3"/>
      <c r="K35" s="3"/>
      <c r="L35" s="3"/>
      <c r="M35" s="3"/>
      <c r="N35" s="3"/>
      <c r="O35" s="3"/>
      <c r="P35" s="3"/>
      <c r="Q35" s="3"/>
      <c r="R35" s="3"/>
      <c r="S35" s="3"/>
      <c r="T35" s="3"/>
      <c r="U35" s="3"/>
      <c r="V35" s="3"/>
      <c r="W35" s="3"/>
      <c r="X35" s="3"/>
      <c r="Y35" s="3"/>
      <c r="Z35" s="3"/>
    </row>
    <row r="36" ht="15.75" customHeight="1">
      <c r="A36" s="22" t="s">
        <v>229</v>
      </c>
      <c r="B36" s="24">
        <f>COUNTIF(Plan!$A$2:$A$400,A36)</f>
        <v>4</v>
      </c>
      <c r="C36" s="24">
        <f>COUNTIFS(Plan!$A$2:$A$400,A36,Plan!$P$2:$P$400,"Done")</f>
        <v>0</v>
      </c>
      <c r="D36" s="24">
        <f>COUNTIFS(Plan!$A$2:$A$400,A36,Plan!$P$2:$P$400,"Skipped")</f>
        <v>0</v>
      </c>
      <c r="E36" s="26">
        <f t="shared" si="1"/>
        <v>0</v>
      </c>
      <c r="F36" s="24">
        <f>SUMIFS(Plan!$N$2:$N$400,Plan!$A$2:$A$400,A36,Plan!$P$2:$P$400,"&lt;&gt;Skipped")</f>
        <v>30</v>
      </c>
      <c r="G36" s="24">
        <f>SUMIFS(Plan!$N$2:$N$400,Plan!$A$2:$A$400,A36,Plan!$P$2:$P$400,"Done")</f>
        <v>0</v>
      </c>
      <c r="H36" s="24">
        <f t="shared" si="2"/>
        <v>30</v>
      </c>
      <c r="I36" s="3"/>
      <c r="J36" s="3"/>
      <c r="K36" s="3"/>
      <c r="L36" s="3"/>
      <c r="M36" s="3"/>
      <c r="N36" s="3"/>
      <c r="O36" s="3"/>
      <c r="P36" s="3"/>
      <c r="Q36" s="3"/>
      <c r="R36" s="3"/>
      <c r="S36" s="3"/>
      <c r="T36" s="3"/>
      <c r="U36" s="3"/>
      <c r="V36" s="3"/>
      <c r="W36" s="3"/>
      <c r="X36" s="3"/>
      <c r="Y36" s="3"/>
      <c r="Z36" s="3"/>
    </row>
    <row r="37" ht="15.75" customHeight="1">
      <c r="A37" s="27" t="s">
        <v>90</v>
      </c>
      <c r="B37" s="19">
        <f t="shared" ref="B37:D37" si="3">SUM(B25:B36)</f>
        <v>81</v>
      </c>
      <c r="C37" s="19">
        <f t="shared" si="3"/>
        <v>0</v>
      </c>
      <c r="D37" s="19">
        <f t="shared" si="3"/>
        <v>2</v>
      </c>
      <c r="E37" s="15">
        <f t="shared" si="1"/>
        <v>0</v>
      </c>
      <c r="F37" s="19">
        <f t="shared" ref="F37:H37" si="4">SUM(F25:F36)</f>
        <v>612</v>
      </c>
      <c r="G37" s="19">
        <f t="shared" si="4"/>
        <v>0</v>
      </c>
      <c r="H37" s="19">
        <f t="shared" si="4"/>
        <v>612</v>
      </c>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9" t="s">
        <v>242</v>
      </c>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2" t="s">
        <v>3</v>
      </c>
      <c r="B40" s="2" t="s">
        <v>22</v>
      </c>
      <c r="C40" s="2" t="s">
        <v>52</v>
      </c>
      <c r="D40" s="2" t="s">
        <v>243</v>
      </c>
      <c r="E40" s="2" t="s">
        <v>244</v>
      </c>
      <c r="F40" s="3"/>
      <c r="G40" s="3"/>
      <c r="H40" s="3"/>
      <c r="I40" s="3"/>
      <c r="J40" s="3"/>
      <c r="K40" s="3"/>
      <c r="L40" s="3"/>
      <c r="M40" s="3"/>
      <c r="N40" s="3"/>
      <c r="O40" s="3"/>
      <c r="P40" s="3"/>
      <c r="Q40" s="3"/>
      <c r="R40" s="3"/>
      <c r="S40" s="3"/>
      <c r="T40" s="3"/>
      <c r="U40" s="3"/>
      <c r="V40" s="3"/>
      <c r="W40" s="3"/>
      <c r="X40" s="3"/>
      <c r="Y40" s="3"/>
      <c r="Z40" s="3"/>
    </row>
    <row r="41" ht="15.75" customHeight="1">
      <c r="A41" s="24">
        <v>1.0</v>
      </c>
      <c r="B41" s="24">
        <f>SUMIFS(Plan!$N$2:$N$400,Plan!$B$2:$B$400,A41,Plan!$P$2:$P$400,"&lt;&gt;Skipped")</f>
        <v>60</v>
      </c>
      <c r="C41" s="24">
        <f>SUMIFS(Plan!$N$2:$N$400,Plan!$B$2:$B$400,A41,Plan!$P$2:$P$400,"Done")</f>
        <v>0</v>
      </c>
      <c r="D41" s="28">
        <f t="shared" ref="D41:D49" si="5">IF($B$5=0,0,B41/$B$5)</f>
        <v>3.75</v>
      </c>
      <c r="E41" s="24" t="str">
        <f t="shared" ref="E41:E49" si="6">IF(D41&gt;4.33,"Yes","")</f>
        <v/>
      </c>
      <c r="F41" s="3"/>
      <c r="G41" s="3"/>
      <c r="H41" s="3"/>
      <c r="I41" s="3"/>
      <c r="J41" s="3"/>
      <c r="K41" s="3"/>
      <c r="L41" s="3"/>
      <c r="M41" s="3"/>
      <c r="N41" s="3"/>
      <c r="O41" s="3"/>
      <c r="P41" s="3"/>
      <c r="Q41" s="3"/>
      <c r="R41" s="3"/>
      <c r="S41" s="3"/>
      <c r="T41" s="3"/>
      <c r="U41" s="3"/>
      <c r="V41" s="3"/>
      <c r="W41" s="3"/>
      <c r="X41" s="3"/>
      <c r="Y41" s="3"/>
      <c r="Z41" s="3"/>
    </row>
    <row r="42" ht="15.75" customHeight="1">
      <c r="A42" s="24">
        <v>2.0</v>
      </c>
      <c r="B42" s="24">
        <f>SUMIFS(Plan!$N$2:$N$400,Plan!$B$2:$B$400,A42,Plan!$P$2:$P$400,"&lt;&gt;Skipped")</f>
        <v>79</v>
      </c>
      <c r="C42" s="24">
        <f>SUMIFS(Plan!$N$2:$N$400,Plan!$B$2:$B$400,A42,Plan!$P$2:$P$400,"Done")</f>
        <v>0</v>
      </c>
      <c r="D42" s="28">
        <f t="shared" si="5"/>
        <v>4.9375</v>
      </c>
      <c r="E42" s="24" t="str">
        <f t="shared" si="6"/>
        <v>Yes</v>
      </c>
      <c r="F42" s="3"/>
      <c r="G42" s="3"/>
      <c r="H42" s="3"/>
      <c r="I42" s="3"/>
      <c r="J42" s="3"/>
      <c r="K42" s="3"/>
      <c r="L42" s="3"/>
      <c r="M42" s="3"/>
      <c r="N42" s="3"/>
      <c r="O42" s="3"/>
      <c r="P42" s="3"/>
      <c r="Q42" s="3"/>
      <c r="R42" s="3"/>
      <c r="S42" s="3"/>
      <c r="T42" s="3"/>
      <c r="U42" s="3"/>
      <c r="V42" s="3"/>
      <c r="W42" s="3"/>
      <c r="X42" s="3"/>
      <c r="Y42" s="3"/>
      <c r="Z42" s="3"/>
    </row>
    <row r="43" ht="15.75" customHeight="1">
      <c r="A43" s="24">
        <v>3.0</v>
      </c>
      <c r="B43" s="24">
        <f>SUMIFS(Plan!$N$2:$N$400,Plan!$B$2:$B$400,A43,Plan!$P$2:$P$400,"&lt;&gt;Skipped")</f>
        <v>70</v>
      </c>
      <c r="C43" s="24">
        <f>SUMIFS(Plan!$N$2:$N$400,Plan!$B$2:$B$400,A43,Plan!$P$2:$P$400,"Done")</f>
        <v>0</v>
      </c>
      <c r="D43" s="28">
        <f t="shared" si="5"/>
        <v>4.375</v>
      </c>
      <c r="E43" s="24" t="str">
        <f t="shared" si="6"/>
        <v>Yes</v>
      </c>
      <c r="F43" s="3"/>
      <c r="G43" s="3"/>
      <c r="H43" s="3"/>
      <c r="I43" s="3"/>
      <c r="J43" s="3"/>
      <c r="K43" s="3"/>
      <c r="L43" s="3"/>
      <c r="M43" s="3"/>
      <c r="N43" s="3"/>
      <c r="O43" s="3"/>
      <c r="P43" s="3"/>
      <c r="Q43" s="3"/>
      <c r="R43" s="3"/>
      <c r="S43" s="3"/>
      <c r="T43" s="3"/>
      <c r="U43" s="3"/>
      <c r="V43" s="3"/>
      <c r="W43" s="3"/>
      <c r="X43" s="3"/>
      <c r="Y43" s="3"/>
      <c r="Z43" s="3"/>
    </row>
    <row r="44" ht="15.75" customHeight="1">
      <c r="A44" s="24">
        <v>4.0</v>
      </c>
      <c r="B44" s="24">
        <f>SUMIFS(Plan!$N$2:$N$400,Plan!$B$2:$B$400,A44,Plan!$P$2:$P$400,"&lt;&gt;Skipped")</f>
        <v>72</v>
      </c>
      <c r="C44" s="24">
        <f>SUMIFS(Plan!$N$2:$N$400,Plan!$B$2:$B$400,A44,Plan!$P$2:$P$400,"Done")</f>
        <v>0</v>
      </c>
      <c r="D44" s="28">
        <f t="shared" si="5"/>
        <v>4.5</v>
      </c>
      <c r="E44" s="24" t="str">
        <f t="shared" si="6"/>
        <v>Yes</v>
      </c>
      <c r="F44" s="3"/>
      <c r="G44" s="3"/>
      <c r="H44" s="3"/>
      <c r="I44" s="3"/>
      <c r="J44" s="3"/>
      <c r="K44" s="3"/>
      <c r="L44" s="3"/>
      <c r="M44" s="3"/>
      <c r="N44" s="3"/>
      <c r="O44" s="3"/>
      <c r="P44" s="3"/>
      <c r="Q44" s="3"/>
      <c r="R44" s="3"/>
      <c r="S44" s="3"/>
      <c r="T44" s="3"/>
      <c r="U44" s="3"/>
      <c r="V44" s="3"/>
      <c r="W44" s="3"/>
      <c r="X44" s="3"/>
      <c r="Y44" s="3"/>
      <c r="Z44" s="3"/>
    </row>
    <row r="45" ht="15.75" customHeight="1">
      <c r="A45" s="24">
        <v>5.0</v>
      </c>
      <c r="B45" s="24">
        <f>SUMIFS(Plan!$N$2:$N$400,Plan!$B$2:$B$400,A45,Plan!$P$2:$P$400,"&lt;&gt;Skipped")</f>
        <v>64</v>
      </c>
      <c r="C45" s="24">
        <f>SUMIFS(Plan!$N$2:$N$400,Plan!$B$2:$B$400,A45,Plan!$P$2:$P$400,"Done")</f>
        <v>0</v>
      </c>
      <c r="D45" s="28">
        <f t="shared" si="5"/>
        <v>4</v>
      </c>
      <c r="E45" s="24" t="str">
        <f t="shared" si="6"/>
        <v/>
      </c>
      <c r="F45" s="3"/>
      <c r="G45" s="3"/>
      <c r="H45" s="3"/>
      <c r="I45" s="3"/>
      <c r="J45" s="3"/>
      <c r="K45" s="3"/>
      <c r="L45" s="3"/>
      <c r="M45" s="3"/>
      <c r="N45" s="3"/>
      <c r="O45" s="3"/>
      <c r="P45" s="3"/>
      <c r="Q45" s="3"/>
      <c r="R45" s="3"/>
      <c r="S45" s="3"/>
      <c r="T45" s="3"/>
      <c r="U45" s="3"/>
      <c r="V45" s="3"/>
      <c r="W45" s="3"/>
      <c r="X45" s="3"/>
      <c r="Y45" s="3"/>
      <c r="Z45" s="3"/>
    </row>
    <row r="46" ht="15.75" customHeight="1">
      <c r="A46" s="24">
        <v>6.0</v>
      </c>
      <c r="B46" s="24">
        <f>SUMIFS(Plan!$N$2:$N$400,Plan!$B$2:$B$400,A46,Plan!$P$2:$P$400,"&lt;&gt;Skipped")</f>
        <v>72</v>
      </c>
      <c r="C46" s="24">
        <f>SUMIFS(Plan!$N$2:$N$400,Plan!$B$2:$B$400,A46,Plan!$P$2:$P$400,"Done")</f>
        <v>0</v>
      </c>
      <c r="D46" s="28">
        <f t="shared" si="5"/>
        <v>4.5</v>
      </c>
      <c r="E46" s="24" t="str">
        <f t="shared" si="6"/>
        <v>Yes</v>
      </c>
      <c r="F46" s="3"/>
      <c r="G46" s="3"/>
      <c r="H46" s="3"/>
      <c r="I46" s="3"/>
      <c r="J46" s="3"/>
      <c r="K46" s="3"/>
      <c r="L46" s="3"/>
      <c r="M46" s="3"/>
      <c r="N46" s="3"/>
      <c r="O46" s="3"/>
      <c r="P46" s="3"/>
      <c r="Q46" s="3"/>
      <c r="R46" s="3"/>
      <c r="S46" s="3"/>
      <c r="T46" s="3"/>
      <c r="U46" s="3"/>
      <c r="V46" s="3"/>
      <c r="W46" s="3"/>
      <c r="X46" s="3"/>
      <c r="Y46" s="3"/>
      <c r="Z46" s="3"/>
    </row>
    <row r="47" ht="15.75" customHeight="1">
      <c r="A47" s="24">
        <v>7.0</v>
      </c>
      <c r="B47" s="24">
        <f>SUMIFS(Plan!$N$2:$N$400,Plan!$B$2:$B$400,A47,Plan!$P$2:$P$400,"&lt;&gt;Skipped")</f>
        <v>66</v>
      </c>
      <c r="C47" s="24">
        <f>SUMIFS(Plan!$N$2:$N$400,Plan!$B$2:$B$400,A47,Plan!$P$2:$P$400,"Done")</f>
        <v>0</v>
      </c>
      <c r="D47" s="28">
        <f t="shared" si="5"/>
        <v>4.125</v>
      </c>
      <c r="E47" s="24" t="str">
        <f t="shared" si="6"/>
        <v/>
      </c>
      <c r="F47" s="3"/>
      <c r="G47" s="3"/>
      <c r="H47" s="3"/>
      <c r="I47" s="3"/>
      <c r="J47" s="3"/>
      <c r="K47" s="3"/>
      <c r="L47" s="3"/>
      <c r="M47" s="3"/>
      <c r="N47" s="3"/>
      <c r="O47" s="3"/>
      <c r="P47" s="3"/>
      <c r="Q47" s="3"/>
      <c r="R47" s="3"/>
      <c r="S47" s="3"/>
      <c r="T47" s="3"/>
      <c r="U47" s="3"/>
      <c r="V47" s="3"/>
      <c r="W47" s="3"/>
      <c r="X47" s="3"/>
      <c r="Y47" s="3"/>
      <c r="Z47" s="3"/>
    </row>
    <row r="48" ht="15.75" customHeight="1">
      <c r="A48" s="24">
        <v>8.0</v>
      </c>
      <c r="B48" s="24">
        <f>SUMIFS(Plan!$N$2:$N$400,Plan!$B$2:$B$400,A48,Plan!$P$2:$P$400,"&lt;&gt;Skipped")</f>
        <v>64</v>
      </c>
      <c r="C48" s="24">
        <f>SUMIFS(Plan!$N$2:$N$400,Plan!$B$2:$B$400,A48,Plan!$P$2:$P$400,"Done")</f>
        <v>0</v>
      </c>
      <c r="D48" s="28">
        <f t="shared" si="5"/>
        <v>4</v>
      </c>
      <c r="E48" s="24" t="str">
        <f t="shared" si="6"/>
        <v/>
      </c>
      <c r="F48" s="3"/>
      <c r="G48" s="3"/>
      <c r="H48" s="3"/>
      <c r="I48" s="3"/>
      <c r="J48" s="3"/>
      <c r="K48" s="3"/>
      <c r="L48" s="3"/>
      <c r="M48" s="3"/>
      <c r="N48" s="3"/>
      <c r="O48" s="3"/>
      <c r="P48" s="3"/>
      <c r="Q48" s="3"/>
      <c r="R48" s="3"/>
      <c r="S48" s="3"/>
      <c r="T48" s="3"/>
      <c r="U48" s="3"/>
      <c r="V48" s="3"/>
      <c r="W48" s="3"/>
      <c r="X48" s="3"/>
      <c r="Y48" s="3"/>
      <c r="Z48" s="3"/>
    </row>
    <row r="49" ht="15.75" customHeight="1">
      <c r="A49" s="24">
        <v>9.0</v>
      </c>
      <c r="B49" s="24">
        <f>SUMIFS(Plan!$N$2:$N$400,Plan!$B$2:$B$400,A49,Plan!$P$2:$P$400,"&lt;&gt;Skipped")</f>
        <v>65</v>
      </c>
      <c r="C49" s="24">
        <f>SUMIFS(Plan!$N$2:$N$400,Plan!$B$2:$B$400,A49,Plan!$P$2:$P$400,"Done")</f>
        <v>0</v>
      </c>
      <c r="D49" s="28">
        <f t="shared" si="5"/>
        <v>4.0625</v>
      </c>
      <c r="E49" s="24" t="str">
        <f t="shared" si="6"/>
        <v/>
      </c>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30.0" customHeight="1">
      <c r="A51" s="6" t="s">
        <v>281</v>
      </c>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A2:H2"/>
    <mergeCell ref="A51:H51"/>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30.0"/>
    <col customWidth="1" min="2" max="2" width="12.14"/>
    <col customWidth="1" min="3" max="3" width="40.0"/>
    <col customWidth="1" min="4" max="4" width="46.0"/>
    <col customWidth="1" min="5" max="5" width="52.71"/>
    <col customWidth="1" min="6" max="6" width="53.0"/>
    <col customWidth="1" min="7" max="7" width="11.0"/>
    <col customWidth="1" min="8" max="8" width="40.0"/>
    <col customWidth="1" min="9" max="9" width="30.0"/>
    <col customWidth="1" min="10" max="10" width="11.0"/>
    <col customWidth="1" min="11" max="11" width="40.0"/>
    <col customWidth="1" min="12" max="12" width="30.0"/>
    <col customWidth="1" min="13" max="13" width="11.0"/>
    <col customWidth="1" min="14" max="14" width="8.0"/>
    <col customWidth="1" min="15" max="15" width="57.29"/>
    <col customWidth="1" min="16" max="16" width="13.0"/>
    <col customWidth="1" min="17" max="17" width="28.0"/>
    <col customWidth="1" min="18" max="26" width="8.71"/>
  </cols>
  <sheetData>
    <row r="1">
      <c r="A1" s="2" t="s">
        <v>0</v>
      </c>
      <c r="B1" s="2" t="s">
        <v>3</v>
      </c>
      <c r="C1" s="2" t="s">
        <v>4</v>
      </c>
      <c r="D1" s="2" t="s">
        <v>5</v>
      </c>
      <c r="E1" s="2" t="s">
        <v>7</v>
      </c>
      <c r="F1" s="2" t="s">
        <v>9</v>
      </c>
      <c r="G1" s="2" t="s">
        <v>10</v>
      </c>
      <c r="H1" s="2" t="s">
        <v>11</v>
      </c>
      <c r="I1" s="2" t="s">
        <v>13</v>
      </c>
      <c r="J1" s="2" t="s">
        <v>15</v>
      </c>
      <c r="K1" s="2" t="s">
        <v>17</v>
      </c>
      <c r="L1" s="2" t="s">
        <v>19</v>
      </c>
      <c r="M1" s="2" t="s">
        <v>20</v>
      </c>
      <c r="N1" s="2" t="s">
        <v>22</v>
      </c>
      <c r="O1" s="2" t="s">
        <v>23</v>
      </c>
      <c r="P1" s="2" t="s">
        <v>24</v>
      </c>
      <c r="Q1" s="2" t="s">
        <v>25</v>
      </c>
    </row>
    <row r="2">
      <c r="A2" s="4" t="s">
        <v>26</v>
      </c>
      <c r="B2" s="5">
        <v>1.0</v>
      </c>
      <c r="C2" s="4" t="s">
        <v>28</v>
      </c>
      <c r="D2" s="4" t="s">
        <v>30</v>
      </c>
      <c r="E2" s="4" t="s">
        <v>31</v>
      </c>
      <c r="F2" s="17" t="s">
        <v>35</v>
      </c>
      <c r="G2" s="4" t="s">
        <v>85</v>
      </c>
      <c r="H2" s="4" t="s">
        <v>87</v>
      </c>
      <c r="I2" s="17" t="s">
        <v>88</v>
      </c>
      <c r="J2" s="4" t="s">
        <v>85</v>
      </c>
      <c r="K2" s="4" t="s">
        <v>100</v>
      </c>
      <c r="L2" s="17" t="s">
        <v>101</v>
      </c>
      <c r="M2" s="4" t="s">
        <v>85</v>
      </c>
      <c r="N2" s="5">
        <v>8.0</v>
      </c>
      <c r="O2" s="4" t="s">
        <v>106</v>
      </c>
      <c r="P2" s="23" t="s">
        <v>113</v>
      </c>
      <c r="Q2" s="25"/>
    </row>
    <row r="3">
      <c r="A3" s="4" t="s">
        <v>26</v>
      </c>
      <c r="B3" s="5">
        <v>1.0</v>
      </c>
      <c r="C3" s="4" t="s">
        <v>119</v>
      </c>
      <c r="D3" s="4" t="s">
        <v>120</v>
      </c>
      <c r="E3" s="4" t="s">
        <v>121</v>
      </c>
      <c r="F3" s="17" t="s">
        <v>122</v>
      </c>
      <c r="G3" s="4" t="s">
        <v>85</v>
      </c>
      <c r="H3" s="4" t="s">
        <v>124</v>
      </c>
      <c r="I3" s="17" t="s">
        <v>125</v>
      </c>
      <c r="J3" s="4" t="s">
        <v>85</v>
      </c>
      <c r="K3" s="4" t="s">
        <v>128</v>
      </c>
      <c r="L3" s="17" t="s">
        <v>129</v>
      </c>
      <c r="M3" s="4" t="s">
        <v>85</v>
      </c>
      <c r="N3" s="5">
        <v>8.0</v>
      </c>
      <c r="O3" s="4" t="s">
        <v>131</v>
      </c>
      <c r="P3" s="23" t="s">
        <v>113</v>
      </c>
      <c r="Q3" s="25"/>
    </row>
    <row r="4">
      <c r="A4" s="4" t="s">
        <v>26</v>
      </c>
      <c r="B4" s="5">
        <v>1.0</v>
      </c>
      <c r="C4" s="4" t="s">
        <v>133</v>
      </c>
      <c r="D4" s="4" t="s">
        <v>134</v>
      </c>
      <c r="E4" s="4" t="s">
        <v>136</v>
      </c>
      <c r="F4" s="17" t="s">
        <v>137</v>
      </c>
      <c r="G4" s="4" t="s">
        <v>85</v>
      </c>
      <c r="H4" s="4" t="s">
        <v>139</v>
      </c>
      <c r="I4" s="17" t="s">
        <v>140</v>
      </c>
      <c r="J4" s="4" t="s">
        <v>85</v>
      </c>
      <c r="K4" s="4" t="s">
        <v>144</v>
      </c>
      <c r="L4" s="17" t="s">
        <v>145</v>
      </c>
      <c r="M4" s="4" t="s">
        <v>85</v>
      </c>
      <c r="N4" s="5">
        <v>10.0</v>
      </c>
      <c r="O4" s="4" t="s">
        <v>146</v>
      </c>
      <c r="P4" s="23" t="s">
        <v>113</v>
      </c>
      <c r="Q4" s="25"/>
    </row>
    <row r="5">
      <c r="A5" s="4" t="s">
        <v>26</v>
      </c>
      <c r="B5" s="5">
        <v>1.0</v>
      </c>
      <c r="C5" s="4" t="s">
        <v>147</v>
      </c>
      <c r="D5" s="4" t="s">
        <v>149</v>
      </c>
      <c r="E5" s="4" t="s">
        <v>150</v>
      </c>
      <c r="F5" s="17" t="s">
        <v>151</v>
      </c>
      <c r="G5" s="4" t="s">
        <v>85</v>
      </c>
      <c r="H5" s="4" t="s">
        <v>155</v>
      </c>
      <c r="I5" s="17" t="s">
        <v>156</v>
      </c>
      <c r="J5" s="4" t="s">
        <v>85</v>
      </c>
      <c r="K5" s="4" t="s">
        <v>162</v>
      </c>
      <c r="L5" s="17" t="s">
        <v>129</v>
      </c>
      <c r="M5" s="4" t="s">
        <v>85</v>
      </c>
      <c r="N5" s="5">
        <v>5.0</v>
      </c>
      <c r="O5" s="4" t="s">
        <v>163</v>
      </c>
      <c r="P5" s="23" t="s">
        <v>113</v>
      </c>
      <c r="Q5" s="25"/>
    </row>
    <row r="6">
      <c r="A6" s="4" t="s">
        <v>26</v>
      </c>
      <c r="B6" s="5">
        <v>1.0</v>
      </c>
      <c r="C6" s="4" t="s">
        <v>164</v>
      </c>
      <c r="D6" s="4" t="s">
        <v>165</v>
      </c>
      <c r="E6" s="4" t="s">
        <v>166</v>
      </c>
      <c r="F6" s="17" t="s">
        <v>167</v>
      </c>
      <c r="G6" s="4" t="s">
        <v>85</v>
      </c>
      <c r="H6" s="4" t="s">
        <v>172</v>
      </c>
      <c r="I6" s="17" t="s">
        <v>173</v>
      </c>
      <c r="J6" s="4" t="s">
        <v>85</v>
      </c>
      <c r="K6" s="4" t="s">
        <v>177</v>
      </c>
      <c r="L6" s="17" t="s">
        <v>178</v>
      </c>
      <c r="M6" s="4" t="s">
        <v>85</v>
      </c>
      <c r="N6" s="5">
        <v>3.0</v>
      </c>
      <c r="O6" s="4" t="s">
        <v>183</v>
      </c>
      <c r="P6" s="23" t="s">
        <v>113</v>
      </c>
      <c r="Q6" s="25"/>
    </row>
    <row r="7">
      <c r="A7" s="4" t="s">
        <v>138</v>
      </c>
      <c r="B7" s="5">
        <v>1.0</v>
      </c>
      <c r="C7" s="4" t="s">
        <v>184</v>
      </c>
      <c r="D7" s="4" t="s">
        <v>185</v>
      </c>
      <c r="E7" s="4" t="s">
        <v>186</v>
      </c>
      <c r="F7" s="17" t="s">
        <v>187</v>
      </c>
      <c r="G7" s="4" t="s">
        <v>85</v>
      </c>
      <c r="H7" s="4" t="s">
        <v>189</v>
      </c>
      <c r="I7" s="17" t="s">
        <v>190</v>
      </c>
      <c r="J7" s="4" t="s">
        <v>85</v>
      </c>
      <c r="K7" s="4" t="s">
        <v>191</v>
      </c>
      <c r="L7" s="17" t="s">
        <v>192</v>
      </c>
      <c r="M7" s="4" t="s">
        <v>85</v>
      </c>
      <c r="N7" s="5">
        <v>8.0</v>
      </c>
      <c r="O7" s="4" t="s">
        <v>194</v>
      </c>
      <c r="P7" s="23" t="s">
        <v>113</v>
      </c>
      <c r="Q7" s="25"/>
    </row>
    <row r="8">
      <c r="A8" s="4" t="s">
        <v>138</v>
      </c>
      <c r="B8" s="5">
        <v>1.0</v>
      </c>
      <c r="C8" s="4" t="s">
        <v>195</v>
      </c>
      <c r="D8" s="4" t="s">
        <v>196</v>
      </c>
      <c r="E8" s="4" t="s">
        <v>197</v>
      </c>
      <c r="F8" s="17" t="s">
        <v>198</v>
      </c>
      <c r="G8" s="4" t="s">
        <v>85</v>
      </c>
      <c r="H8" s="4" t="s">
        <v>199</v>
      </c>
      <c r="I8" s="17" t="s">
        <v>200</v>
      </c>
      <c r="J8" s="4" t="s">
        <v>85</v>
      </c>
      <c r="K8" s="4" t="s">
        <v>202</v>
      </c>
      <c r="L8" s="17" t="s">
        <v>203</v>
      </c>
      <c r="M8" s="4" t="s">
        <v>85</v>
      </c>
      <c r="N8" s="5">
        <v>6.0</v>
      </c>
      <c r="O8" s="4" t="s">
        <v>205</v>
      </c>
      <c r="P8" s="23" t="s">
        <v>113</v>
      </c>
      <c r="Q8" s="25"/>
    </row>
    <row r="9">
      <c r="A9" s="4" t="s">
        <v>138</v>
      </c>
      <c r="B9" s="5">
        <v>1.0</v>
      </c>
      <c r="C9" s="4" t="s">
        <v>206</v>
      </c>
      <c r="D9" s="4" t="s">
        <v>207</v>
      </c>
      <c r="E9" s="4" t="s">
        <v>208</v>
      </c>
      <c r="F9" s="17" t="s">
        <v>209</v>
      </c>
      <c r="G9" s="4" t="s">
        <v>85</v>
      </c>
      <c r="H9" s="4" t="s">
        <v>211</v>
      </c>
      <c r="I9" s="17" t="s">
        <v>190</v>
      </c>
      <c r="J9" s="4" t="s">
        <v>85</v>
      </c>
      <c r="K9" s="4" t="s">
        <v>212</v>
      </c>
      <c r="L9" s="17" t="s">
        <v>213</v>
      </c>
      <c r="M9" s="4" t="s">
        <v>85</v>
      </c>
      <c r="N9" s="5">
        <v>12.0</v>
      </c>
      <c r="O9" s="4" t="s">
        <v>214</v>
      </c>
      <c r="P9" s="23" t="s">
        <v>113</v>
      </c>
      <c r="Q9" s="25"/>
    </row>
    <row r="10">
      <c r="A10" s="4" t="s">
        <v>138</v>
      </c>
      <c r="B10" s="5">
        <v>2.0</v>
      </c>
      <c r="C10" s="4" t="s">
        <v>215</v>
      </c>
      <c r="D10" s="4" t="s">
        <v>216</v>
      </c>
      <c r="E10" s="4" t="s">
        <v>217</v>
      </c>
      <c r="F10" s="17" t="s">
        <v>218</v>
      </c>
      <c r="G10" s="4" t="s">
        <v>85</v>
      </c>
      <c r="H10" s="4" t="s">
        <v>220</v>
      </c>
      <c r="I10" s="17" t="s">
        <v>221</v>
      </c>
      <c r="J10" s="4" t="s">
        <v>85</v>
      </c>
      <c r="K10" s="4" t="s">
        <v>223</v>
      </c>
      <c r="L10" s="17" t="s">
        <v>213</v>
      </c>
      <c r="M10" s="4" t="s">
        <v>85</v>
      </c>
      <c r="N10" s="5">
        <v>12.0</v>
      </c>
      <c r="O10" s="4" t="s">
        <v>224</v>
      </c>
      <c r="P10" s="23" t="s">
        <v>113</v>
      </c>
      <c r="Q10" s="25"/>
    </row>
    <row r="11">
      <c r="A11" s="4" t="s">
        <v>138</v>
      </c>
      <c r="B11" s="5">
        <v>2.0</v>
      </c>
      <c r="C11" s="4" t="s">
        <v>225</v>
      </c>
      <c r="D11" s="4" t="s">
        <v>226</v>
      </c>
      <c r="E11" s="4" t="s">
        <v>227</v>
      </c>
      <c r="F11" s="17" t="s">
        <v>228</v>
      </c>
      <c r="G11" s="4" t="s">
        <v>85</v>
      </c>
      <c r="H11" s="4" t="s">
        <v>230</v>
      </c>
      <c r="I11" s="17" t="s">
        <v>190</v>
      </c>
      <c r="J11" s="4" t="s">
        <v>85</v>
      </c>
      <c r="K11" s="4" t="s">
        <v>231</v>
      </c>
      <c r="L11" s="17" t="s">
        <v>232</v>
      </c>
      <c r="M11" s="4" t="s">
        <v>85</v>
      </c>
      <c r="N11" s="5">
        <v>8.0</v>
      </c>
      <c r="O11" s="4" t="s">
        <v>233</v>
      </c>
      <c r="P11" s="23" t="s">
        <v>113</v>
      </c>
      <c r="Q11" s="25"/>
    </row>
    <row r="12">
      <c r="A12" s="4" t="s">
        <v>138</v>
      </c>
      <c r="B12" s="5">
        <v>2.0</v>
      </c>
      <c r="C12" s="4" t="s">
        <v>234</v>
      </c>
      <c r="D12" s="4" t="s">
        <v>235</v>
      </c>
      <c r="E12" s="4" t="s">
        <v>236</v>
      </c>
      <c r="F12" s="17" t="s">
        <v>237</v>
      </c>
      <c r="G12" s="4" t="s">
        <v>85</v>
      </c>
      <c r="H12" s="4" t="s">
        <v>238</v>
      </c>
      <c r="I12" s="17" t="s">
        <v>239</v>
      </c>
      <c r="J12" s="4" t="s">
        <v>85</v>
      </c>
      <c r="K12" s="4" t="s">
        <v>240</v>
      </c>
      <c r="L12" s="17" t="s">
        <v>241</v>
      </c>
      <c r="M12" s="4" t="s">
        <v>85</v>
      </c>
      <c r="N12" s="5">
        <v>6.0</v>
      </c>
      <c r="O12" s="4" t="s">
        <v>245</v>
      </c>
      <c r="P12" s="23" t="s">
        <v>113</v>
      </c>
      <c r="Q12" s="25"/>
    </row>
    <row r="13">
      <c r="A13" s="4" t="s">
        <v>138</v>
      </c>
      <c r="B13" s="5">
        <v>2.0</v>
      </c>
      <c r="C13" s="4" t="s">
        <v>246</v>
      </c>
      <c r="D13" s="4" t="s">
        <v>247</v>
      </c>
      <c r="E13" s="4" t="s">
        <v>248</v>
      </c>
      <c r="F13" s="17" t="s">
        <v>249</v>
      </c>
      <c r="G13" s="4" t="s">
        <v>85</v>
      </c>
      <c r="H13" s="4" t="s">
        <v>250</v>
      </c>
      <c r="I13" s="17" t="s">
        <v>251</v>
      </c>
      <c r="J13" s="4" t="s">
        <v>85</v>
      </c>
      <c r="K13" s="4" t="s">
        <v>252</v>
      </c>
      <c r="L13" s="17" t="s">
        <v>253</v>
      </c>
      <c r="M13" s="4" t="s">
        <v>254</v>
      </c>
      <c r="N13" s="5">
        <v>10.0</v>
      </c>
      <c r="O13" s="4" t="s">
        <v>255</v>
      </c>
      <c r="P13" s="23" t="s">
        <v>113</v>
      </c>
      <c r="Q13" s="25"/>
    </row>
    <row r="14">
      <c r="A14" s="4" t="s">
        <v>153</v>
      </c>
      <c r="B14" s="5">
        <v>2.0</v>
      </c>
      <c r="C14" s="4" t="s">
        <v>256</v>
      </c>
      <c r="D14" s="4" t="s">
        <v>257</v>
      </c>
      <c r="E14" s="4" t="s">
        <v>258</v>
      </c>
      <c r="F14" s="17" t="s">
        <v>259</v>
      </c>
      <c r="G14" s="4" t="s">
        <v>85</v>
      </c>
      <c r="H14" s="4" t="s">
        <v>260</v>
      </c>
      <c r="I14" s="17" t="s">
        <v>125</v>
      </c>
      <c r="J14" s="4" t="s">
        <v>85</v>
      </c>
      <c r="K14" s="4" t="s">
        <v>261</v>
      </c>
      <c r="L14" s="17" t="s">
        <v>262</v>
      </c>
      <c r="M14" s="4" t="s">
        <v>263</v>
      </c>
      <c r="N14" s="5">
        <v>10.0</v>
      </c>
      <c r="O14" s="4" t="s">
        <v>264</v>
      </c>
      <c r="P14" s="23" t="s">
        <v>113</v>
      </c>
      <c r="Q14" s="25"/>
    </row>
    <row r="15">
      <c r="A15" s="4" t="s">
        <v>153</v>
      </c>
      <c r="B15" s="5">
        <v>2.0</v>
      </c>
      <c r="C15" s="4" t="s">
        <v>265</v>
      </c>
      <c r="D15" s="4" t="s">
        <v>266</v>
      </c>
      <c r="E15" s="4" t="s">
        <v>267</v>
      </c>
      <c r="F15" s="17" t="s">
        <v>268</v>
      </c>
      <c r="G15" s="4" t="s">
        <v>85</v>
      </c>
      <c r="H15" s="4" t="s">
        <v>269</v>
      </c>
      <c r="I15" s="17" t="s">
        <v>270</v>
      </c>
      <c r="J15" s="4" t="s">
        <v>85</v>
      </c>
      <c r="K15" s="4" t="s">
        <v>271</v>
      </c>
      <c r="L15" s="17" t="s">
        <v>272</v>
      </c>
      <c r="M15" s="4" t="s">
        <v>85</v>
      </c>
      <c r="N15" s="5">
        <v>8.0</v>
      </c>
      <c r="O15" s="4" t="s">
        <v>273</v>
      </c>
      <c r="P15" s="23" t="s">
        <v>113</v>
      </c>
      <c r="Q15" s="25"/>
    </row>
    <row r="16">
      <c r="A16" s="4" t="s">
        <v>153</v>
      </c>
      <c r="B16" s="5">
        <v>2.0</v>
      </c>
      <c r="C16" s="4" t="s">
        <v>274</v>
      </c>
      <c r="D16" s="4" t="s">
        <v>275</v>
      </c>
      <c r="E16" s="4" t="s">
        <v>276</v>
      </c>
      <c r="F16" s="17" t="s">
        <v>277</v>
      </c>
      <c r="G16" s="4" t="s">
        <v>85</v>
      </c>
      <c r="H16" s="4" t="s">
        <v>278</v>
      </c>
      <c r="I16" s="17" t="s">
        <v>270</v>
      </c>
      <c r="J16" s="4" t="s">
        <v>85</v>
      </c>
      <c r="K16" s="4" t="s">
        <v>279</v>
      </c>
      <c r="L16" s="17" t="s">
        <v>280</v>
      </c>
      <c r="M16" s="4" t="s">
        <v>85</v>
      </c>
      <c r="N16" s="5">
        <v>7.0</v>
      </c>
      <c r="O16" s="4" t="s">
        <v>282</v>
      </c>
      <c r="P16" s="23" t="s">
        <v>113</v>
      </c>
      <c r="Q16" s="25"/>
    </row>
    <row r="17">
      <c r="A17" s="4" t="s">
        <v>153</v>
      </c>
      <c r="B17" s="5">
        <v>2.0</v>
      </c>
      <c r="C17" s="4" t="s">
        <v>283</v>
      </c>
      <c r="D17" s="4" t="s">
        <v>284</v>
      </c>
      <c r="E17" s="4" t="s">
        <v>285</v>
      </c>
      <c r="F17" s="17" t="s">
        <v>286</v>
      </c>
      <c r="G17" s="4" t="s">
        <v>85</v>
      </c>
      <c r="H17" s="4" t="s">
        <v>287</v>
      </c>
      <c r="I17" s="17" t="s">
        <v>288</v>
      </c>
      <c r="J17" s="4" t="s">
        <v>85</v>
      </c>
      <c r="K17" s="4" t="s">
        <v>289</v>
      </c>
      <c r="L17" s="17" t="s">
        <v>290</v>
      </c>
      <c r="M17" s="4" t="s">
        <v>85</v>
      </c>
      <c r="N17" s="5">
        <v>6.0</v>
      </c>
      <c r="O17" s="4" t="s">
        <v>291</v>
      </c>
      <c r="P17" s="23" t="s">
        <v>113</v>
      </c>
      <c r="Q17" s="25"/>
    </row>
    <row r="18">
      <c r="A18" s="4" t="s">
        <v>153</v>
      </c>
      <c r="B18" s="5">
        <v>3.0</v>
      </c>
      <c r="C18" s="4" t="s">
        <v>292</v>
      </c>
      <c r="D18" s="4" t="s">
        <v>293</v>
      </c>
      <c r="E18" s="4" t="s">
        <v>294</v>
      </c>
      <c r="F18" s="17" t="s">
        <v>237</v>
      </c>
      <c r="G18" s="4" t="s">
        <v>85</v>
      </c>
      <c r="H18" s="4" t="s">
        <v>295</v>
      </c>
      <c r="I18" s="17" t="s">
        <v>296</v>
      </c>
      <c r="J18" s="4" t="s">
        <v>85</v>
      </c>
      <c r="K18" s="4" t="s">
        <v>297</v>
      </c>
      <c r="L18" s="17" t="s">
        <v>296</v>
      </c>
      <c r="M18" s="4" t="s">
        <v>254</v>
      </c>
      <c r="N18" s="5">
        <v>10.0</v>
      </c>
      <c r="O18" s="4" t="s">
        <v>298</v>
      </c>
      <c r="P18" s="23" t="s">
        <v>113</v>
      </c>
      <c r="Q18" s="25"/>
    </row>
    <row r="19">
      <c r="A19" s="4" t="s">
        <v>153</v>
      </c>
      <c r="B19" s="5">
        <v>3.0</v>
      </c>
      <c r="C19" s="4" t="s">
        <v>299</v>
      </c>
      <c r="D19" s="4" t="s">
        <v>300</v>
      </c>
      <c r="E19" s="4" t="s">
        <v>301</v>
      </c>
      <c r="F19" s="17" t="s">
        <v>302</v>
      </c>
      <c r="G19" s="4" t="s">
        <v>85</v>
      </c>
      <c r="H19" s="4" t="s">
        <v>303</v>
      </c>
      <c r="I19" s="17" t="s">
        <v>304</v>
      </c>
      <c r="J19" s="4" t="s">
        <v>85</v>
      </c>
      <c r="K19" s="4" t="s">
        <v>305</v>
      </c>
      <c r="L19" s="17" t="s">
        <v>306</v>
      </c>
      <c r="M19" s="4" t="s">
        <v>254</v>
      </c>
      <c r="N19" s="5">
        <v>6.0</v>
      </c>
      <c r="O19" s="4" t="s">
        <v>307</v>
      </c>
      <c r="P19" s="23" t="s">
        <v>113</v>
      </c>
      <c r="Q19" s="25"/>
    </row>
    <row r="20">
      <c r="A20" s="4" t="s">
        <v>153</v>
      </c>
      <c r="B20" s="5">
        <v>3.0</v>
      </c>
      <c r="C20" s="4" t="s">
        <v>308</v>
      </c>
      <c r="D20" s="4" t="s">
        <v>309</v>
      </c>
      <c r="E20" s="4" t="s">
        <v>310</v>
      </c>
      <c r="F20" s="17" t="s">
        <v>311</v>
      </c>
      <c r="G20" s="4" t="s">
        <v>85</v>
      </c>
      <c r="H20" s="4" t="s">
        <v>312</v>
      </c>
      <c r="I20" s="17" t="s">
        <v>190</v>
      </c>
      <c r="J20" s="4" t="s">
        <v>85</v>
      </c>
      <c r="K20" s="4" t="s">
        <v>313</v>
      </c>
      <c r="L20" s="17" t="s">
        <v>311</v>
      </c>
      <c r="M20" s="4" t="s">
        <v>85</v>
      </c>
      <c r="N20" s="5">
        <v>5.0</v>
      </c>
      <c r="O20" s="4" t="s">
        <v>314</v>
      </c>
      <c r="P20" s="23" t="s">
        <v>113</v>
      </c>
      <c r="Q20" s="25"/>
    </row>
    <row r="21" ht="15.75" customHeight="1">
      <c r="A21" s="4" t="s">
        <v>153</v>
      </c>
      <c r="B21" s="5">
        <v>3.0</v>
      </c>
      <c r="C21" s="4" t="s">
        <v>315</v>
      </c>
      <c r="D21" s="4" t="s">
        <v>316</v>
      </c>
      <c r="E21" s="4" t="s">
        <v>317</v>
      </c>
      <c r="F21" s="17" t="s">
        <v>318</v>
      </c>
      <c r="G21" s="4" t="s">
        <v>85</v>
      </c>
      <c r="H21" s="4" t="s">
        <v>319</v>
      </c>
      <c r="I21" s="17" t="s">
        <v>270</v>
      </c>
      <c r="J21" s="4" t="s">
        <v>85</v>
      </c>
      <c r="K21" s="4" t="s">
        <v>320</v>
      </c>
      <c r="L21" s="17" t="s">
        <v>321</v>
      </c>
      <c r="M21" s="4" t="s">
        <v>85</v>
      </c>
      <c r="N21" s="5">
        <v>3.0</v>
      </c>
      <c r="O21" s="4" t="s">
        <v>322</v>
      </c>
      <c r="P21" s="23" t="s">
        <v>113</v>
      </c>
      <c r="Q21" s="25"/>
    </row>
    <row r="22" ht="15.75" customHeight="1">
      <c r="A22" s="4" t="s">
        <v>171</v>
      </c>
      <c r="B22" s="5">
        <v>3.0</v>
      </c>
      <c r="C22" s="4" t="s">
        <v>323</v>
      </c>
      <c r="D22" s="4" t="s">
        <v>324</v>
      </c>
      <c r="E22" s="4" t="s">
        <v>325</v>
      </c>
      <c r="F22" s="17" t="s">
        <v>326</v>
      </c>
      <c r="G22" s="4" t="s">
        <v>85</v>
      </c>
      <c r="H22" s="4" t="s">
        <v>327</v>
      </c>
      <c r="I22" s="17" t="s">
        <v>304</v>
      </c>
      <c r="J22" s="4" t="s">
        <v>85</v>
      </c>
      <c r="K22" s="4" t="s">
        <v>328</v>
      </c>
      <c r="L22" s="17" t="s">
        <v>329</v>
      </c>
      <c r="M22" s="4" t="s">
        <v>254</v>
      </c>
      <c r="N22" s="5">
        <v>8.0</v>
      </c>
      <c r="O22" s="4" t="s">
        <v>330</v>
      </c>
      <c r="P22" s="23" t="s">
        <v>113</v>
      </c>
      <c r="Q22" s="25"/>
    </row>
    <row r="23" ht="15.75" customHeight="1">
      <c r="A23" s="4" t="s">
        <v>171</v>
      </c>
      <c r="B23" s="5">
        <v>3.0</v>
      </c>
      <c r="C23" s="4" t="s">
        <v>331</v>
      </c>
      <c r="D23" s="4" t="s">
        <v>332</v>
      </c>
      <c r="E23" s="4" t="s">
        <v>333</v>
      </c>
      <c r="F23" s="17" t="s">
        <v>334</v>
      </c>
      <c r="G23" s="4" t="s">
        <v>85</v>
      </c>
      <c r="H23" s="4" t="s">
        <v>335</v>
      </c>
      <c r="I23" s="17" t="s">
        <v>336</v>
      </c>
      <c r="J23" s="4" t="s">
        <v>85</v>
      </c>
      <c r="K23" s="4" t="s">
        <v>337</v>
      </c>
      <c r="L23" s="17" t="s">
        <v>338</v>
      </c>
      <c r="M23" s="4" t="s">
        <v>85</v>
      </c>
      <c r="N23" s="5">
        <v>8.0</v>
      </c>
      <c r="O23" s="4" t="s">
        <v>339</v>
      </c>
      <c r="P23" s="23" t="s">
        <v>113</v>
      </c>
      <c r="Q23" s="25"/>
    </row>
    <row r="24" ht="15.75" customHeight="1">
      <c r="A24" s="4" t="s">
        <v>171</v>
      </c>
      <c r="B24" s="5">
        <v>3.0</v>
      </c>
      <c r="C24" s="4" t="s">
        <v>340</v>
      </c>
      <c r="D24" s="4" t="s">
        <v>341</v>
      </c>
      <c r="E24" s="4" t="s">
        <v>342</v>
      </c>
      <c r="F24" s="17" t="s">
        <v>343</v>
      </c>
      <c r="G24" s="4" t="s">
        <v>85</v>
      </c>
      <c r="H24" s="4" t="s">
        <v>344</v>
      </c>
      <c r="I24" s="17" t="s">
        <v>336</v>
      </c>
      <c r="J24" s="4" t="s">
        <v>85</v>
      </c>
      <c r="K24" s="4" t="s">
        <v>345</v>
      </c>
      <c r="L24" s="17" t="s">
        <v>346</v>
      </c>
      <c r="M24" s="4" t="s">
        <v>85</v>
      </c>
      <c r="N24" s="5">
        <v>6.0</v>
      </c>
      <c r="O24" s="4" t="s">
        <v>347</v>
      </c>
      <c r="P24" s="23" t="s">
        <v>113</v>
      </c>
      <c r="Q24" s="25"/>
    </row>
    <row r="25" ht="15.75" customHeight="1">
      <c r="A25" s="4" t="s">
        <v>171</v>
      </c>
      <c r="B25" s="5">
        <v>3.0</v>
      </c>
      <c r="C25" s="4" t="s">
        <v>348</v>
      </c>
      <c r="D25" s="4" t="s">
        <v>349</v>
      </c>
      <c r="E25" s="4" t="s">
        <v>350</v>
      </c>
      <c r="F25" s="17" t="s">
        <v>351</v>
      </c>
      <c r="G25" s="4" t="s">
        <v>85</v>
      </c>
      <c r="H25" s="4" t="s">
        <v>352</v>
      </c>
      <c r="I25" s="17" t="s">
        <v>353</v>
      </c>
      <c r="J25" s="4" t="s">
        <v>85</v>
      </c>
      <c r="K25" s="4" t="s">
        <v>354</v>
      </c>
      <c r="L25" s="17" t="s">
        <v>353</v>
      </c>
      <c r="M25" s="4" t="s">
        <v>85</v>
      </c>
      <c r="N25" s="5">
        <v>6.0</v>
      </c>
      <c r="O25" s="4" t="s">
        <v>355</v>
      </c>
      <c r="P25" s="23" t="s">
        <v>113</v>
      </c>
      <c r="Q25" s="25"/>
    </row>
    <row r="26" ht="15.75" customHeight="1">
      <c r="A26" s="4" t="s">
        <v>171</v>
      </c>
      <c r="B26" s="5">
        <v>3.0</v>
      </c>
      <c r="C26" s="4" t="s">
        <v>356</v>
      </c>
      <c r="D26" s="4" t="s">
        <v>357</v>
      </c>
      <c r="E26" s="4" t="s">
        <v>358</v>
      </c>
      <c r="F26" s="17" t="s">
        <v>359</v>
      </c>
      <c r="G26" s="4" t="s">
        <v>85</v>
      </c>
      <c r="H26" s="4" t="s">
        <v>360</v>
      </c>
      <c r="I26" s="17" t="s">
        <v>288</v>
      </c>
      <c r="J26" s="4" t="s">
        <v>85</v>
      </c>
      <c r="K26" s="4" t="s">
        <v>361</v>
      </c>
      <c r="L26" s="17" t="s">
        <v>362</v>
      </c>
      <c r="M26" s="4" t="s">
        <v>85</v>
      </c>
      <c r="N26" s="5">
        <v>6.0</v>
      </c>
      <c r="O26" s="4" t="s">
        <v>363</v>
      </c>
      <c r="P26" s="23" t="s">
        <v>113</v>
      </c>
      <c r="Q26" s="25"/>
    </row>
    <row r="27" ht="15.75" customHeight="1">
      <c r="A27" s="4" t="s">
        <v>182</v>
      </c>
      <c r="B27" s="5">
        <v>3.0</v>
      </c>
      <c r="C27" s="4" t="s">
        <v>364</v>
      </c>
      <c r="D27" s="4" t="s">
        <v>365</v>
      </c>
      <c r="E27" s="4" t="s">
        <v>366</v>
      </c>
      <c r="F27" s="17" t="s">
        <v>367</v>
      </c>
      <c r="G27" s="4" t="s">
        <v>85</v>
      </c>
      <c r="H27" s="4" t="s">
        <v>368</v>
      </c>
      <c r="I27" s="17" t="s">
        <v>369</v>
      </c>
      <c r="J27" s="4" t="s">
        <v>85</v>
      </c>
      <c r="K27" s="4" t="s">
        <v>370</v>
      </c>
      <c r="L27" s="17" t="s">
        <v>371</v>
      </c>
      <c r="M27" s="4" t="s">
        <v>85</v>
      </c>
      <c r="N27" s="5">
        <v>8.0</v>
      </c>
      <c r="O27" s="4" t="s">
        <v>372</v>
      </c>
      <c r="P27" s="23" t="s">
        <v>113</v>
      </c>
      <c r="Q27" s="25"/>
    </row>
    <row r="28" ht="15.75" customHeight="1">
      <c r="A28" s="4" t="s">
        <v>182</v>
      </c>
      <c r="B28" s="5">
        <v>4.0</v>
      </c>
      <c r="C28" s="4" t="s">
        <v>373</v>
      </c>
      <c r="D28" s="4" t="s">
        <v>374</v>
      </c>
      <c r="E28" s="4" t="s">
        <v>375</v>
      </c>
      <c r="F28" s="17" t="s">
        <v>376</v>
      </c>
      <c r="G28" s="4" t="s">
        <v>85</v>
      </c>
      <c r="H28" s="4" t="s">
        <v>377</v>
      </c>
      <c r="I28" s="17" t="s">
        <v>125</v>
      </c>
      <c r="J28" s="4" t="s">
        <v>85</v>
      </c>
      <c r="K28" s="4" t="s">
        <v>378</v>
      </c>
      <c r="L28" s="17" t="s">
        <v>379</v>
      </c>
      <c r="M28" s="4" t="s">
        <v>85</v>
      </c>
      <c r="N28" s="5">
        <v>8.0</v>
      </c>
      <c r="O28" s="4" t="s">
        <v>380</v>
      </c>
      <c r="P28" s="23" t="s">
        <v>113</v>
      </c>
      <c r="Q28" s="25"/>
    </row>
    <row r="29" ht="15.75" customHeight="1">
      <c r="A29" s="4" t="s">
        <v>182</v>
      </c>
      <c r="B29" s="5">
        <v>4.0</v>
      </c>
      <c r="C29" s="4" t="s">
        <v>381</v>
      </c>
      <c r="D29" s="4" t="s">
        <v>382</v>
      </c>
      <c r="E29" s="4" t="s">
        <v>383</v>
      </c>
      <c r="F29" s="17" t="s">
        <v>384</v>
      </c>
      <c r="G29" s="4" t="s">
        <v>85</v>
      </c>
      <c r="H29" s="4" t="s">
        <v>385</v>
      </c>
      <c r="I29" s="17" t="s">
        <v>386</v>
      </c>
      <c r="J29" s="4" t="s">
        <v>85</v>
      </c>
      <c r="K29" s="4" t="s">
        <v>387</v>
      </c>
      <c r="L29" s="17" t="s">
        <v>388</v>
      </c>
      <c r="M29" s="4" t="s">
        <v>85</v>
      </c>
      <c r="N29" s="5">
        <v>8.0</v>
      </c>
      <c r="O29" s="4" t="s">
        <v>389</v>
      </c>
      <c r="P29" s="23" t="s">
        <v>113</v>
      </c>
      <c r="Q29" s="25"/>
    </row>
    <row r="30" ht="15.75" customHeight="1">
      <c r="A30" s="4" t="s">
        <v>182</v>
      </c>
      <c r="B30" s="5">
        <v>4.0</v>
      </c>
      <c r="C30" s="4" t="s">
        <v>390</v>
      </c>
      <c r="D30" s="4" t="s">
        <v>391</v>
      </c>
      <c r="E30" s="4" t="s">
        <v>392</v>
      </c>
      <c r="F30" s="17" t="s">
        <v>393</v>
      </c>
      <c r="G30" s="4" t="s">
        <v>85</v>
      </c>
      <c r="H30" s="4" t="s">
        <v>394</v>
      </c>
      <c r="I30" s="17" t="s">
        <v>395</v>
      </c>
      <c r="J30" s="4" t="s">
        <v>85</v>
      </c>
      <c r="K30" s="4" t="s">
        <v>396</v>
      </c>
      <c r="L30" s="17" t="s">
        <v>397</v>
      </c>
      <c r="M30" s="4" t="s">
        <v>85</v>
      </c>
      <c r="N30" s="5">
        <v>8.0</v>
      </c>
      <c r="O30" s="4" t="s">
        <v>398</v>
      </c>
      <c r="P30" s="23" t="s">
        <v>113</v>
      </c>
      <c r="Q30" s="25"/>
    </row>
    <row r="31" ht="15.75" customHeight="1">
      <c r="A31" s="4" t="s">
        <v>182</v>
      </c>
      <c r="B31" s="5">
        <v>4.0</v>
      </c>
      <c r="C31" s="4" t="s">
        <v>399</v>
      </c>
      <c r="D31" s="4" t="s">
        <v>400</v>
      </c>
      <c r="E31" s="4" t="s">
        <v>401</v>
      </c>
      <c r="F31" s="17" t="s">
        <v>402</v>
      </c>
      <c r="G31" s="4" t="s">
        <v>85</v>
      </c>
      <c r="H31" s="4" t="s">
        <v>403</v>
      </c>
      <c r="I31" s="17" t="s">
        <v>140</v>
      </c>
      <c r="J31" s="4" t="s">
        <v>85</v>
      </c>
      <c r="K31" s="4" t="s">
        <v>404</v>
      </c>
      <c r="L31" s="17" t="s">
        <v>405</v>
      </c>
      <c r="M31" s="4" t="s">
        <v>85</v>
      </c>
      <c r="N31" s="5">
        <v>12.0</v>
      </c>
      <c r="O31" s="4" t="s">
        <v>406</v>
      </c>
      <c r="P31" s="23" t="s">
        <v>113</v>
      </c>
      <c r="Q31" s="25"/>
    </row>
    <row r="32" ht="15.75" customHeight="1">
      <c r="A32" s="4" t="s">
        <v>182</v>
      </c>
      <c r="B32" s="5">
        <v>4.0</v>
      </c>
      <c r="C32" s="4" t="s">
        <v>407</v>
      </c>
      <c r="D32" s="4" t="s">
        <v>408</v>
      </c>
      <c r="E32" s="4" t="s">
        <v>409</v>
      </c>
      <c r="F32" s="17" t="s">
        <v>410</v>
      </c>
      <c r="G32" s="4" t="s">
        <v>85</v>
      </c>
      <c r="H32" s="4" t="s">
        <v>411</v>
      </c>
      <c r="I32" s="17" t="s">
        <v>412</v>
      </c>
      <c r="J32" s="4" t="s">
        <v>85</v>
      </c>
      <c r="K32" s="4" t="s">
        <v>413</v>
      </c>
      <c r="L32" s="17" t="s">
        <v>410</v>
      </c>
      <c r="M32" s="4" t="s">
        <v>85</v>
      </c>
      <c r="N32" s="5">
        <v>6.0</v>
      </c>
      <c r="O32" s="4" t="s">
        <v>414</v>
      </c>
      <c r="P32" s="23" t="s">
        <v>113</v>
      </c>
      <c r="Q32" s="25"/>
    </row>
    <row r="33" ht="15.75" customHeight="1">
      <c r="A33" s="4" t="s">
        <v>182</v>
      </c>
      <c r="B33" s="5">
        <v>4.0</v>
      </c>
      <c r="C33" s="4" t="s">
        <v>415</v>
      </c>
      <c r="D33" s="4" t="s">
        <v>416</v>
      </c>
      <c r="E33" s="4" t="s">
        <v>417</v>
      </c>
      <c r="F33" s="17" t="s">
        <v>418</v>
      </c>
      <c r="G33" s="4" t="s">
        <v>85</v>
      </c>
      <c r="H33" s="4" t="s">
        <v>419</v>
      </c>
      <c r="I33" s="17" t="s">
        <v>420</v>
      </c>
      <c r="J33" s="4" t="s">
        <v>85</v>
      </c>
      <c r="K33" s="4" t="s">
        <v>421</v>
      </c>
      <c r="L33" s="17" t="s">
        <v>420</v>
      </c>
      <c r="M33" s="4" t="s">
        <v>85</v>
      </c>
      <c r="N33" s="5">
        <v>6.0</v>
      </c>
      <c r="O33" s="4" t="s">
        <v>422</v>
      </c>
      <c r="P33" s="23" t="s">
        <v>113</v>
      </c>
      <c r="Q33" s="25"/>
    </row>
    <row r="34" ht="15.75" customHeight="1">
      <c r="A34" s="4" t="s">
        <v>182</v>
      </c>
      <c r="B34" s="5">
        <v>4.0</v>
      </c>
      <c r="C34" s="4" t="s">
        <v>423</v>
      </c>
      <c r="D34" s="4" t="s">
        <v>424</v>
      </c>
      <c r="E34" s="4" t="s">
        <v>425</v>
      </c>
      <c r="F34" s="17" t="s">
        <v>426</v>
      </c>
      <c r="G34" s="4" t="s">
        <v>85</v>
      </c>
      <c r="H34" s="4" t="s">
        <v>427</v>
      </c>
      <c r="I34" s="17" t="s">
        <v>428</v>
      </c>
      <c r="J34" s="4" t="s">
        <v>85</v>
      </c>
      <c r="K34" s="4" t="s">
        <v>429</v>
      </c>
      <c r="L34" s="17" t="s">
        <v>430</v>
      </c>
      <c r="M34" s="4" t="s">
        <v>85</v>
      </c>
      <c r="N34" s="5">
        <v>8.0</v>
      </c>
      <c r="O34" s="4" t="s">
        <v>431</v>
      </c>
      <c r="P34" s="23" t="s">
        <v>113</v>
      </c>
      <c r="Q34" s="25"/>
    </row>
    <row r="35" ht="15.75" customHeight="1">
      <c r="A35" s="4" t="s">
        <v>182</v>
      </c>
      <c r="B35" s="5">
        <v>4.0</v>
      </c>
      <c r="C35" s="4" t="s">
        <v>432</v>
      </c>
      <c r="D35" s="4" t="s">
        <v>433</v>
      </c>
      <c r="E35" s="4" t="s">
        <v>434</v>
      </c>
      <c r="F35" s="17" t="s">
        <v>435</v>
      </c>
      <c r="G35" s="4" t="s">
        <v>85</v>
      </c>
      <c r="H35" s="4" t="s">
        <v>436</v>
      </c>
      <c r="I35" s="17" t="s">
        <v>437</v>
      </c>
      <c r="J35" s="4" t="s">
        <v>85</v>
      </c>
      <c r="K35" s="4" t="s">
        <v>438</v>
      </c>
      <c r="L35" s="17" t="s">
        <v>439</v>
      </c>
      <c r="M35" s="4" t="s">
        <v>85</v>
      </c>
      <c r="N35" s="5">
        <v>8.0</v>
      </c>
      <c r="O35" s="4" t="s">
        <v>440</v>
      </c>
      <c r="P35" s="23" t="s">
        <v>113</v>
      </c>
      <c r="Q35" s="25"/>
    </row>
    <row r="36" ht="15.75" customHeight="1">
      <c r="A36" s="4" t="s">
        <v>182</v>
      </c>
      <c r="B36" s="5">
        <v>5.0</v>
      </c>
      <c r="C36" s="4" t="s">
        <v>441</v>
      </c>
      <c r="D36" s="4" t="s">
        <v>442</v>
      </c>
      <c r="E36" s="4" t="s">
        <v>443</v>
      </c>
      <c r="F36" s="17" t="s">
        <v>444</v>
      </c>
      <c r="G36" s="4" t="s">
        <v>85</v>
      </c>
      <c r="H36" s="4" t="s">
        <v>445</v>
      </c>
      <c r="I36" s="17" t="s">
        <v>369</v>
      </c>
      <c r="J36" s="4" t="s">
        <v>85</v>
      </c>
      <c r="K36" s="4" t="s">
        <v>446</v>
      </c>
      <c r="L36" s="17" t="s">
        <v>444</v>
      </c>
      <c r="M36" s="4" t="s">
        <v>85</v>
      </c>
      <c r="N36" s="5">
        <v>6.0</v>
      </c>
      <c r="O36" s="4" t="s">
        <v>447</v>
      </c>
      <c r="P36" s="23" t="s">
        <v>113</v>
      </c>
      <c r="Q36" s="25"/>
    </row>
    <row r="37" ht="15.75" customHeight="1">
      <c r="A37" s="4" t="s">
        <v>182</v>
      </c>
      <c r="B37" s="5">
        <v>5.0</v>
      </c>
      <c r="C37" s="4" t="s">
        <v>448</v>
      </c>
      <c r="D37" s="4" t="s">
        <v>449</v>
      </c>
      <c r="E37" s="4" t="s">
        <v>450</v>
      </c>
      <c r="F37" s="17" t="s">
        <v>451</v>
      </c>
      <c r="G37" s="4" t="s">
        <v>85</v>
      </c>
      <c r="H37" s="4" t="s">
        <v>452</v>
      </c>
      <c r="I37" s="17" t="s">
        <v>453</v>
      </c>
      <c r="J37" s="4" t="s">
        <v>85</v>
      </c>
      <c r="K37" s="4" t="s">
        <v>454</v>
      </c>
      <c r="L37" s="17" t="s">
        <v>455</v>
      </c>
      <c r="M37" s="4" t="s">
        <v>85</v>
      </c>
      <c r="N37" s="5">
        <v>6.0</v>
      </c>
      <c r="O37" s="4" t="s">
        <v>456</v>
      </c>
      <c r="P37" s="23" t="s">
        <v>113</v>
      </c>
      <c r="Q37" s="25"/>
    </row>
    <row r="38" ht="15.75" customHeight="1">
      <c r="A38" s="4" t="s">
        <v>182</v>
      </c>
      <c r="B38" s="5">
        <v>5.0</v>
      </c>
      <c r="C38" s="4" t="s">
        <v>457</v>
      </c>
      <c r="D38" s="4" t="s">
        <v>458</v>
      </c>
      <c r="E38" s="4" t="s">
        <v>459</v>
      </c>
      <c r="F38" s="17" t="s">
        <v>460</v>
      </c>
      <c r="G38" s="4" t="s">
        <v>85</v>
      </c>
      <c r="H38" s="4" t="s">
        <v>461</v>
      </c>
      <c r="I38" s="17" t="s">
        <v>462</v>
      </c>
      <c r="J38" s="4" t="s">
        <v>85</v>
      </c>
      <c r="K38" s="4" t="s">
        <v>463</v>
      </c>
      <c r="L38" s="17" t="s">
        <v>460</v>
      </c>
      <c r="M38" s="4" t="s">
        <v>85</v>
      </c>
      <c r="N38" s="5">
        <v>6.0</v>
      </c>
      <c r="O38" s="4" t="s">
        <v>464</v>
      </c>
      <c r="P38" s="23" t="s">
        <v>108</v>
      </c>
      <c r="Q38" s="25"/>
    </row>
    <row r="39" ht="15.75" customHeight="1">
      <c r="A39" s="4" t="s">
        <v>193</v>
      </c>
      <c r="B39" s="5">
        <v>5.0</v>
      </c>
      <c r="C39" s="4" t="s">
        <v>465</v>
      </c>
      <c r="D39" s="4" t="s">
        <v>466</v>
      </c>
      <c r="E39" s="4" t="s">
        <v>467</v>
      </c>
      <c r="F39" s="17" t="s">
        <v>468</v>
      </c>
      <c r="G39" s="4" t="s">
        <v>469</v>
      </c>
      <c r="H39" s="4" t="s">
        <v>470</v>
      </c>
      <c r="I39" s="17" t="s">
        <v>471</v>
      </c>
      <c r="J39" s="4" t="s">
        <v>85</v>
      </c>
      <c r="K39" s="4" t="s">
        <v>472</v>
      </c>
      <c r="L39" s="17" t="s">
        <v>473</v>
      </c>
      <c r="M39" s="4" t="s">
        <v>85</v>
      </c>
      <c r="N39" s="5">
        <v>16.0</v>
      </c>
      <c r="O39" s="4" t="s">
        <v>474</v>
      </c>
      <c r="P39" s="23" t="s">
        <v>113</v>
      </c>
      <c r="Q39" s="25"/>
    </row>
    <row r="40" ht="15.75" customHeight="1">
      <c r="A40" s="4" t="s">
        <v>193</v>
      </c>
      <c r="B40" s="5">
        <v>5.0</v>
      </c>
      <c r="C40" s="4" t="s">
        <v>475</v>
      </c>
      <c r="D40" s="4" t="s">
        <v>476</v>
      </c>
      <c r="E40" s="4" t="s">
        <v>477</v>
      </c>
      <c r="F40" s="17" t="s">
        <v>478</v>
      </c>
      <c r="G40" s="4" t="s">
        <v>85</v>
      </c>
      <c r="H40" s="4" t="s">
        <v>479</v>
      </c>
      <c r="I40" s="17" t="s">
        <v>480</v>
      </c>
      <c r="J40" s="4" t="s">
        <v>85</v>
      </c>
      <c r="K40" s="4" t="s">
        <v>481</v>
      </c>
      <c r="L40" s="17" t="s">
        <v>480</v>
      </c>
      <c r="M40" s="4" t="s">
        <v>85</v>
      </c>
      <c r="N40" s="5">
        <v>8.0</v>
      </c>
      <c r="O40" s="4" t="s">
        <v>482</v>
      </c>
      <c r="P40" s="23" t="s">
        <v>113</v>
      </c>
      <c r="Q40" s="25"/>
    </row>
    <row r="41" ht="15.75" customHeight="1">
      <c r="A41" s="4" t="s">
        <v>193</v>
      </c>
      <c r="B41" s="5">
        <v>5.0</v>
      </c>
      <c r="C41" s="4" t="s">
        <v>483</v>
      </c>
      <c r="D41" s="4" t="s">
        <v>484</v>
      </c>
      <c r="E41" s="4" t="s">
        <v>485</v>
      </c>
      <c r="F41" s="17" t="s">
        <v>480</v>
      </c>
      <c r="G41" s="4" t="s">
        <v>85</v>
      </c>
      <c r="H41" s="4" t="s">
        <v>486</v>
      </c>
      <c r="I41" s="17" t="s">
        <v>480</v>
      </c>
      <c r="J41" s="4" t="s">
        <v>85</v>
      </c>
      <c r="K41" s="4" t="s">
        <v>487</v>
      </c>
      <c r="L41" s="17" t="s">
        <v>480</v>
      </c>
      <c r="M41" s="4" t="s">
        <v>85</v>
      </c>
      <c r="N41" s="5">
        <v>20.0</v>
      </c>
      <c r="O41" s="4" t="s">
        <v>488</v>
      </c>
      <c r="P41" s="23" t="s">
        <v>108</v>
      </c>
      <c r="Q41" s="25"/>
    </row>
    <row r="42" ht="15.75" customHeight="1">
      <c r="A42" s="4" t="s">
        <v>193</v>
      </c>
      <c r="B42" s="5">
        <v>5.0</v>
      </c>
      <c r="C42" s="4" t="s">
        <v>489</v>
      </c>
      <c r="D42" s="4" t="s">
        <v>490</v>
      </c>
      <c r="E42" s="4" t="s">
        <v>491</v>
      </c>
      <c r="F42" s="17" t="s">
        <v>492</v>
      </c>
      <c r="G42" s="4" t="s">
        <v>85</v>
      </c>
      <c r="H42" s="4" t="s">
        <v>493</v>
      </c>
      <c r="I42" s="17" t="s">
        <v>494</v>
      </c>
      <c r="J42" s="4" t="s">
        <v>85</v>
      </c>
      <c r="K42" s="4" t="s">
        <v>495</v>
      </c>
      <c r="L42" s="17" t="s">
        <v>496</v>
      </c>
      <c r="M42" s="4" t="s">
        <v>254</v>
      </c>
      <c r="N42" s="5">
        <v>10.0</v>
      </c>
      <c r="O42" s="4" t="s">
        <v>497</v>
      </c>
      <c r="P42" s="23" t="s">
        <v>113</v>
      </c>
      <c r="Q42" s="25"/>
    </row>
    <row r="43" ht="15.75" customHeight="1">
      <c r="A43" s="4" t="s">
        <v>193</v>
      </c>
      <c r="B43" s="5">
        <v>5.0</v>
      </c>
      <c r="C43" s="4" t="s">
        <v>498</v>
      </c>
      <c r="D43" s="4" t="s">
        <v>499</v>
      </c>
      <c r="E43" s="4" t="s">
        <v>500</v>
      </c>
      <c r="F43" s="17" t="s">
        <v>501</v>
      </c>
      <c r="G43" s="4" t="s">
        <v>502</v>
      </c>
      <c r="H43" s="4" t="s">
        <v>503</v>
      </c>
      <c r="I43" s="17" t="s">
        <v>504</v>
      </c>
      <c r="J43" s="4" t="s">
        <v>85</v>
      </c>
      <c r="K43" s="4" t="s">
        <v>505</v>
      </c>
      <c r="L43" s="17" t="s">
        <v>504</v>
      </c>
      <c r="M43" s="4" t="s">
        <v>85</v>
      </c>
      <c r="N43" s="5">
        <v>8.0</v>
      </c>
      <c r="O43" s="4" t="s">
        <v>506</v>
      </c>
      <c r="P43" s="23" t="s">
        <v>113</v>
      </c>
      <c r="Q43" s="25"/>
    </row>
    <row r="44" ht="15.75" customHeight="1">
      <c r="A44" s="4" t="s">
        <v>193</v>
      </c>
      <c r="B44" s="5">
        <v>5.0</v>
      </c>
      <c r="C44" s="4" t="s">
        <v>507</v>
      </c>
      <c r="D44" s="4" t="s">
        <v>508</v>
      </c>
      <c r="E44" s="4" t="s">
        <v>509</v>
      </c>
      <c r="F44" s="17" t="s">
        <v>496</v>
      </c>
      <c r="G44" s="4" t="s">
        <v>85</v>
      </c>
      <c r="H44" s="4" t="s">
        <v>510</v>
      </c>
      <c r="I44" s="17" t="s">
        <v>511</v>
      </c>
      <c r="J44" s="4" t="s">
        <v>85</v>
      </c>
      <c r="K44" s="4" t="s">
        <v>512</v>
      </c>
      <c r="L44" s="17" t="s">
        <v>513</v>
      </c>
      <c r="M44" s="4" t="s">
        <v>85</v>
      </c>
      <c r="N44" s="5">
        <v>10.0</v>
      </c>
      <c r="O44" s="4" t="s">
        <v>514</v>
      </c>
      <c r="P44" s="23" t="s">
        <v>113</v>
      </c>
      <c r="Q44" s="25"/>
    </row>
    <row r="45" ht="15.75" customHeight="1">
      <c r="A45" s="4" t="s">
        <v>201</v>
      </c>
      <c r="B45" s="5">
        <v>6.0</v>
      </c>
      <c r="C45" s="4" t="s">
        <v>515</v>
      </c>
      <c r="D45" s="4" t="s">
        <v>516</v>
      </c>
      <c r="E45" s="4" t="s">
        <v>517</v>
      </c>
      <c r="F45" s="17" t="s">
        <v>518</v>
      </c>
      <c r="G45" s="4" t="s">
        <v>85</v>
      </c>
      <c r="H45" s="4" t="s">
        <v>519</v>
      </c>
      <c r="I45" s="17" t="s">
        <v>520</v>
      </c>
      <c r="J45" s="4" t="s">
        <v>85</v>
      </c>
      <c r="K45" s="4" t="s">
        <v>521</v>
      </c>
      <c r="L45" s="17" t="s">
        <v>520</v>
      </c>
      <c r="M45" s="4" t="s">
        <v>85</v>
      </c>
      <c r="N45" s="5">
        <v>10.0</v>
      </c>
      <c r="O45" s="4" t="s">
        <v>522</v>
      </c>
      <c r="P45" s="23" t="s">
        <v>113</v>
      </c>
      <c r="Q45" s="25"/>
    </row>
    <row r="46" ht="15.75" customHeight="1">
      <c r="A46" s="4" t="s">
        <v>201</v>
      </c>
      <c r="B46" s="5">
        <v>6.0</v>
      </c>
      <c r="C46" s="4" t="s">
        <v>523</v>
      </c>
      <c r="D46" s="4" t="s">
        <v>524</v>
      </c>
      <c r="E46" s="4" t="s">
        <v>525</v>
      </c>
      <c r="F46" s="17" t="s">
        <v>526</v>
      </c>
      <c r="G46" s="4" t="s">
        <v>85</v>
      </c>
      <c r="H46" s="4" t="s">
        <v>527</v>
      </c>
      <c r="I46" s="17" t="s">
        <v>181</v>
      </c>
      <c r="J46" s="4" t="s">
        <v>85</v>
      </c>
      <c r="K46" s="4" t="s">
        <v>528</v>
      </c>
      <c r="L46" s="17" t="s">
        <v>529</v>
      </c>
      <c r="M46" s="4" t="s">
        <v>85</v>
      </c>
      <c r="N46" s="5">
        <v>6.0</v>
      </c>
      <c r="O46" s="4" t="s">
        <v>530</v>
      </c>
      <c r="P46" s="23" t="s">
        <v>113</v>
      </c>
      <c r="Q46" s="25"/>
    </row>
    <row r="47" ht="15.75" customHeight="1">
      <c r="A47" s="4" t="s">
        <v>201</v>
      </c>
      <c r="B47" s="5">
        <v>6.0</v>
      </c>
      <c r="C47" s="4" t="s">
        <v>531</v>
      </c>
      <c r="D47" s="4" t="s">
        <v>532</v>
      </c>
      <c r="E47" s="4" t="s">
        <v>533</v>
      </c>
      <c r="F47" s="17" t="s">
        <v>534</v>
      </c>
      <c r="G47" s="4" t="s">
        <v>85</v>
      </c>
      <c r="H47" s="4" t="s">
        <v>535</v>
      </c>
      <c r="I47" s="17" t="s">
        <v>536</v>
      </c>
      <c r="J47" s="4" t="s">
        <v>85</v>
      </c>
      <c r="K47" s="4" t="s">
        <v>537</v>
      </c>
      <c r="L47" s="17" t="s">
        <v>534</v>
      </c>
      <c r="M47" s="4" t="s">
        <v>85</v>
      </c>
      <c r="N47" s="5">
        <v>8.0</v>
      </c>
      <c r="O47" s="4" t="s">
        <v>538</v>
      </c>
      <c r="P47" s="23" t="s">
        <v>113</v>
      </c>
      <c r="Q47" s="25"/>
    </row>
    <row r="48" ht="15.75" customHeight="1">
      <c r="A48" s="4" t="s">
        <v>201</v>
      </c>
      <c r="B48" s="5">
        <v>6.0</v>
      </c>
      <c r="C48" s="4" t="s">
        <v>539</v>
      </c>
      <c r="D48" s="4" t="s">
        <v>540</v>
      </c>
      <c r="E48" s="4" t="s">
        <v>541</v>
      </c>
      <c r="F48" s="17" t="s">
        <v>542</v>
      </c>
      <c r="G48" s="4" t="s">
        <v>85</v>
      </c>
      <c r="H48" s="4" t="s">
        <v>543</v>
      </c>
      <c r="I48" s="17" t="s">
        <v>181</v>
      </c>
      <c r="J48" s="4" t="s">
        <v>85</v>
      </c>
      <c r="K48" s="4" t="s">
        <v>544</v>
      </c>
      <c r="L48" s="17" t="s">
        <v>545</v>
      </c>
      <c r="M48" s="4" t="s">
        <v>85</v>
      </c>
      <c r="N48" s="5">
        <v>10.0</v>
      </c>
      <c r="O48" s="4" t="s">
        <v>546</v>
      </c>
      <c r="P48" s="23" t="s">
        <v>113</v>
      </c>
      <c r="Q48" s="25"/>
    </row>
    <row r="49" ht="15.75" customHeight="1">
      <c r="A49" s="4" t="s">
        <v>201</v>
      </c>
      <c r="B49" s="5">
        <v>6.0</v>
      </c>
      <c r="C49" s="4" t="s">
        <v>547</v>
      </c>
      <c r="D49" s="4" t="s">
        <v>548</v>
      </c>
      <c r="E49" s="4" t="s">
        <v>549</v>
      </c>
      <c r="F49" s="17" t="s">
        <v>550</v>
      </c>
      <c r="G49" s="4" t="s">
        <v>85</v>
      </c>
      <c r="H49" s="4" t="s">
        <v>551</v>
      </c>
      <c r="I49" s="17" t="s">
        <v>181</v>
      </c>
      <c r="J49" s="4" t="s">
        <v>85</v>
      </c>
      <c r="K49" s="4" t="s">
        <v>552</v>
      </c>
      <c r="L49" s="17" t="s">
        <v>553</v>
      </c>
      <c r="M49" s="4" t="s">
        <v>85</v>
      </c>
      <c r="N49" s="5">
        <v>10.0</v>
      </c>
      <c r="O49" s="4" t="s">
        <v>554</v>
      </c>
      <c r="P49" s="23" t="s">
        <v>113</v>
      </c>
      <c r="Q49" s="25"/>
    </row>
    <row r="50" ht="15.75" customHeight="1">
      <c r="A50" s="4" t="s">
        <v>201</v>
      </c>
      <c r="B50" s="5">
        <v>6.0</v>
      </c>
      <c r="C50" s="4" t="s">
        <v>555</v>
      </c>
      <c r="D50" s="4" t="s">
        <v>556</v>
      </c>
      <c r="E50" s="4" t="s">
        <v>557</v>
      </c>
      <c r="F50" s="17" t="s">
        <v>558</v>
      </c>
      <c r="G50" s="4" t="s">
        <v>85</v>
      </c>
      <c r="H50" s="4" t="s">
        <v>559</v>
      </c>
      <c r="I50" s="17" t="s">
        <v>560</v>
      </c>
      <c r="J50" s="4" t="s">
        <v>85</v>
      </c>
      <c r="K50" s="4" t="s">
        <v>561</v>
      </c>
      <c r="L50" s="17" t="s">
        <v>562</v>
      </c>
      <c r="M50" s="4" t="s">
        <v>85</v>
      </c>
      <c r="N50" s="5">
        <v>8.0</v>
      </c>
      <c r="O50" s="4" t="s">
        <v>563</v>
      </c>
      <c r="P50" s="23" t="s">
        <v>113</v>
      </c>
      <c r="Q50" s="25"/>
    </row>
    <row r="51" ht="15.75" customHeight="1">
      <c r="A51" s="4" t="s">
        <v>201</v>
      </c>
      <c r="B51" s="5">
        <v>6.0</v>
      </c>
      <c r="C51" s="4" t="s">
        <v>564</v>
      </c>
      <c r="D51" s="4" t="s">
        <v>565</v>
      </c>
      <c r="E51" s="4" t="s">
        <v>566</v>
      </c>
      <c r="F51" s="17" t="s">
        <v>567</v>
      </c>
      <c r="G51" s="4" t="s">
        <v>85</v>
      </c>
      <c r="H51" s="4" t="s">
        <v>568</v>
      </c>
      <c r="I51" s="17" t="s">
        <v>569</v>
      </c>
      <c r="J51" s="4" t="s">
        <v>85</v>
      </c>
      <c r="K51" s="4" t="s">
        <v>570</v>
      </c>
      <c r="L51" s="17" t="s">
        <v>571</v>
      </c>
      <c r="M51" s="4" t="s">
        <v>85</v>
      </c>
      <c r="N51" s="5">
        <v>6.0</v>
      </c>
      <c r="O51" s="4" t="s">
        <v>572</v>
      </c>
      <c r="P51" s="23" t="s">
        <v>113</v>
      </c>
      <c r="Q51" s="25"/>
    </row>
    <row r="52" ht="15.75" customHeight="1">
      <c r="A52" s="4" t="s">
        <v>201</v>
      </c>
      <c r="B52" s="5">
        <v>6.0</v>
      </c>
      <c r="C52" s="4" t="s">
        <v>573</v>
      </c>
      <c r="D52" s="4" t="s">
        <v>574</v>
      </c>
      <c r="E52" s="4" t="s">
        <v>575</v>
      </c>
      <c r="F52" s="17" t="s">
        <v>576</v>
      </c>
      <c r="G52" s="4" t="s">
        <v>85</v>
      </c>
      <c r="H52" s="4" t="s">
        <v>577</v>
      </c>
      <c r="I52" s="17" t="s">
        <v>578</v>
      </c>
      <c r="J52" s="4" t="s">
        <v>85</v>
      </c>
      <c r="K52" s="4" t="s">
        <v>579</v>
      </c>
      <c r="L52" s="17" t="s">
        <v>576</v>
      </c>
      <c r="M52" s="4" t="s">
        <v>85</v>
      </c>
      <c r="N52" s="5">
        <v>8.0</v>
      </c>
      <c r="O52" s="4" t="s">
        <v>580</v>
      </c>
      <c r="P52" s="23" t="s">
        <v>113</v>
      </c>
      <c r="Q52" s="25"/>
    </row>
    <row r="53" ht="15.75" customHeight="1">
      <c r="A53" s="4" t="s">
        <v>204</v>
      </c>
      <c r="B53" s="5">
        <v>7.0</v>
      </c>
      <c r="C53" s="4" t="s">
        <v>581</v>
      </c>
      <c r="D53" s="4" t="s">
        <v>582</v>
      </c>
      <c r="E53" s="4" t="s">
        <v>583</v>
      </c>
      <c r="F53" s="17" t="s">
        <v>584</v>
      </c>
      <c r="G53" s="4" t="s">
        <v>85</v>
      </c>
      <c r="H53" s="4" t="s">
        <v>585</v>
      </c>
      <c r="I53" s="17" t="s">
        <v>586</v>
      </c>
      <c r="J53" s="4" t="s">
        <v>85</v>
      </c>
      <c r="K53" s="4" t="s">
        <v>587</v>
      </c>
      <c r="L53" s="17" t="s">
        <v>588</v>
      </c>
      <c r="M53" s="4" t="s">
        <v>85</v>
      </c>
      <c r="N53" s="5">
        <v>12.0</v>
      </c>
      <c r="O53" s="4" t="s">
        <v>589</v>
      </c>
      <c r="P53" s="23" t="s">
        <v>113</v>
      </c>
      <c r="Q53" s="25"/>
    </row>
    <row r="54" ht="15.75" customHeight="1">
      <c r="A54" s="4" t="s">
        <v>204</v>
      </c>
      <c r="B54" s="5">
        <v>7.0</v>
      </c>
      <c r="C54" s="4" t="s">
        <v>590</v>
      </c>
      <c r="D54" s="4" t="s">
        <v>591</v>
      </c>
      <c r="E54" s="4" t="s">
        <v>592</v>
      </c>
      <c r="F54" s="17" t="s">
        <v>593</v>
      </c>
      <c r="G54" s="4" t="s">
        <v>85</v>
      </c>
      <c r="H54" s="4" t="s">
        <v>594</v>
      </c>
      <c r="I54" s="17" t="s">
        <v>595</v>
      </c>
      <c r="J54" s="4" t="s">
        <v>85</v>
      </c>
      <c r="K54" s="4" t="s">
        <v>596</v>
      </c>
      <c r="L54" s="17" t="s">
        <v>593</v>
      </c>
      <c r="M54" s="4" t="s">
        <v>254</v>
      </c>
      <c r="N54" s="5">
        <v>6.0</v>
      </c>
      <c r="O54" s="4" t="s">
        <v>597</v>
      </c>
      <c r="P54" s="23" t="s">
        <v>113</v>
      </c>
      <c r="Q54" s="25"/>
    </row>
    <row r="55" ht="15.75" customHeight="1">
      <c r="A55" s="4" t="s">
        <v>204</v>
      </c>
      <c r="B55" s="5">
        <v>7.0</v>
      </c>
      <c r="C55" s="4" t="s">
        <v>598</v>
      </c>
      <c r="D55" s="4" t="s">
        <v>599</v>
      </c>
      <c r="E55" s="4" t="s">
        <v>600</v>
      </c>
      <c r="F55" s="17" t="s">
        <v>601</v>
      </c>
      <c r="G55" s="4" t="s">
        <v>85</v>
      </c>
      <c r="H55" s="4" t="s">
        <v>602</v>
      </c>
      <c r="I55" s="17" t="s">
        <v>601</v>
      </c>
      <c r="J55" s="4" t="s">
        <v>85</v>
      </c>
      <c r="K55" s="4" t="s">
        <v>603</v>
      </c>
      <c r="L55" s="17" t="s">
        <v>601</v>
      </c>
      <c r="M55" s="4" t="s">
        <v>85</v>
      </c>
      <c r="N55" s="5">
        <v>6.0</v>
      </c>
      <c r="O55" s="4" t="s">
        <v>604</v>
      </c>
      <c r="P55" s="23" t="s">
        <v>113</v>
      </c>
      <c r="Q55" s="25"/>
    </row>
    <row r="56" ht="15.75" customHeight="1">
      <c r="A56" s="4" t="s">
        <v>204</v>
      </c>
      <c r="B56" s="5">
        <v>7.0</v>
      </c>
      <c r="C56" s="4" t="s">
        <v>605</v>
      </c>
      <c r="D56" s="4" t="s">
        <v>606</v>
      </c>
      <c r="E56" s="4" t="s">
        <v>607</v>
      </c>
      <c r="F56" s="17" t="s">
        <v>608</v>
      </c>
      <c r="G56" s="4" t="s">
        <v>85</v>
      </c>
      <c r="H56" s="4" t="s">
        <v>609</v>
      </c>
      <c r="I56" s="17" t="s">
        <v>251</v>
      </c>
      <c r="J56" s="4" t="s">
        <v>85</v>
      </c>
      <c r="K56" s="4" t="s">
        <v>610</v>
      </c>
      <c r="L56" s="17" t="s">
        <v>249</v>
      </c>
      <c r="M56" s="4" t="s">
        <v>254</v>
      </c>
      <c r="N56" s="5">
        <v>10.0</v>
      </c>
      <c r="O56" s="4" t="s">
        <v>611</v>
      </c>
      <c r="P56" s="23" t="s">
        <v>113</v>
      </c>
      <c r="Q56" s="25"/>
    </row>
    <row r="57" ht="15.75" customHeight="1">
      <c r="A57" s="4" t="s">
        <v>204</v>
      </c>
      <c r="B57" s="5">
        <v>7.0</v>
      </c>
      <c r="C57" s="4" t="s">
        <v>612</v>
      </c>
      <c r="D57" s="4" t="s">
        <v>613</v>
      </c>
      <c r="E57" s="4" t="s">
        <v>614</v>
      </c>
      <c r="F57" s="17" t="s">
        <v>615</v>
      </c>
      <c r="G57" s="4" t="s">
        <v>85</v>
      </c>
      <c r="H57" s="4" t="s">
        <v>616</v>
      </c>
      <c r="I57" s="17" t="s">
        <v>617</v>
      </c>
      <c r="J57" s="4" t="s">
        <v>85</v>
      </c>
      <c r="K57" s="4" t="s">
        <v>618</v>
      </c>
      <c r="L57" s="17" t="s">
        <v>619</v>
      </c>
      <c r="M57" s="4" t="s">
        <v>85</v>
      </c>
      <c r="N57" s="5">
        <v>5.0</v>
      </c>
      <c r="O57" s="4" t="s">
        <v>620</v>
      </c>
      <c r="P57" s="23" t="s">
        <v>113</v>
      </c>
      <c r="Q57" s="25"/>
    </row>
    <row r="58" ht="15.75" customHeight="1">
      <c r="A58" s="4" t="s">
        <v>204</v>
      </c>
      <c r="B58" s="5">
        <v>7.0</v>
      </c>
      <c r="C58" s="4" t="s">
        <v>621</v>
      </c>
      <c r="D58" s="4" t="s">
        <v>622</v>
      </c>
      <c r="E58" s="4" t="s">
        <v>623</v>
      </c>
      <c r="F58" s="17" t="s">
        <v>624</v>
      </c>
      <c r="G58" s="4" t="s">
        <v>85</v>
      </c>
      <c r="H58" s="4" t="s">
        <v>625</v>
      </c>
      <c r="I58" s="17" t="s">
        <v>536</v>
      </c>
      <c r="J58" s="4" t="s">
        <v>85</v>
      </c>
      <c r="K58" s="4" t="s">
        <v>626</v>
      </c>
      <c r="L58" s="17" t="s">
        <v>627</v>
      </c>
      <c r="M58" s="4" t="s">
        <v>85</v>
      </c>
      <c r="N58" s="5">
        <v>6.0</v>
      </c>
      <c r="O58" s="4" t="s">
        <v>628</v>
      </c>
      <c r="P58" s="23" t="s">
        <v>113</v>
      </c>
      <c r="Q58" s="25"/>
    </row>
    <row r="59" ht="15.75" customHeight="1">
      <c r="A59" s="4" t="s">
        <v>204</v>
      </c>
      <c r="B59" s="5">
        <v>7.0</v>
      </c>
      <c r="C59" s="4" t="s">
        <v>629</v>
      </c>
      <c r="D59" s="4" t="s">
        <v>630</v>
      </c>
      <c r="E59" s="4" t="s">
        <v>631</v>
      </c>
      <c r="F59" s="17" t="s">
        <v>627</v>
      </c>
      <c r="G59" s="4" t="s">
        <v>85</v>
      </c>
      <c r="H59" s="4" t="s">
        <v>632</v>
      </c>
      <c r="I59" s="17" t="s">
        <v>181</v>
      </c>
      <c r="J59" s="4" t="s">
        <v>85</v>
      </c>
      <c r="K59" s="4" t="s">
        <v>633</v>
      </c>
      <c r="L59" s="17" t="s">
        <v>553</v>
      </c>
      <c r="M59" s="4" t="s">
        <v>85</v>
      </c>
      <c r="N59" s="5">
        <v>5.0</v>
      </c>
      <c r="O59" s="4" t="s">
        <v>634</v>
      </c>
      <c r="P59" s="23" t="s">
        <v>113</v>
      </c>
      <c r="Q59" s="25"/>
    </row>
    <row r="60" ht="15.75" customHeight="1">
      <c r="A60" s="4" t="s">
        <v>210</v>
      </c>
      <c r="B60" s="5">
        <v>7.0</v>
      </c>
      <c r="C60" s="4" t="s">
        <v>635</v>
      </c>
      <c r="D60" s="4" t="s">
        <v>636</v>
      </c>
      <c r="E60" s="4" t="s">
        <v>637</v>
      </c>
      <c r="F60" s="17" t="s">
        <v>638</v>
      </c>
      <c r="G60" s="4" t="s">
        <v>85</v>
      </c>
      <c r="H60" s="4" t="s">
        <v>639</v>
      </c>
      <c r="I60" s="17" t="s">
        <v>640</v>
      </c>
      <c r="J60" s="4" t="s">
        <v>85</v>
      </c>
      <c r="K60" s="4" t="s">
        <v>641</v>
      </c>
      <c r="L60" s="17" t="s">
        <v>640</v>
      </c>
      <c r="M60" s="4" t="s">
        <v>85</v>
      </c>
      <c r="N60" s="5">
        <v>10.0</v>
      </c>
      <c r="O60" s="4" t="s">
        <v>642</v>
      </c>
      <c r="P60" s="23" t="s">
        <v>113</v>
      </c>
      <c r="Q60" s="25"/>
    </row>
    <row r="61" ht="15.75" customHeight="1">
      <c r="A61" s="4" t="s">
        <v>210</v>
      </c>
      <c r="B61" s="5">
        <v>7.0</v>
      </c>
      <c r="C61" s="4" t="s">
        <v>643</v>
      </c>
      <c r="D61" s="4" t="s">
        <v>644</v>
      </c>
      <c r="E61" s="4" t="s">
        <v>645</v>
      </c>
      <c r="F61" s="17" t="s">
        <v>646</v>
      </c>
      <c r="G61" s="4" t="s">
        <v>85</v>
      </c>
      <c r="H61" s="4" t="s">
        <v>647</v>
      </c>
      <c r="I61" s="17" t="s">
        <v>569</v>
      </c>
      <c r="J61" s="4" t="s">
        <v>85</v>
      </c>
      <c r="K61" s="4" t="s">
        <v>648</v>
      </c>
      <c r="L61" s="17" t="s">
        <v>649</v>
      </c>
      <c r="M61" s="4" t="s">
        <v>85</v>
      </c>
      <c r="N61" s="5">
        <v>6.0</v>
      </c>
      <c r="O61" s="4" t="s">
        <v>650</v>
      </c>
      <c r="P61" s="23" t="s">
        <v>113</v>
      </c>
      <c r="Q61" s="25"/>
    </row>
    <row r="62" ht="15.75" customHeight="1">
      <c r="A62" s="4" t="s">
        <v>210</v>
      </c>
      <c r="B62" s="5">
        <v>8.0</v>
      </c>
      <c r="C62" s="4" t="s">
        <v>651</v>
      </c>
      <c r="D62" s="4" t="s">
        <v>652</v>
      </c>
      <c r="E62" s="4" t="s">
        <v>653</v>
      </c>
      <c r="F62" s="17" t="s">
        <v>237</v>
      </c>
      <c r="G62" s="4" t="s">
        <v>85</v>
      </c>
      <c r="H62" s="4" t="s">
        <v>654</v>
      </c>
      <c r="I62" s="17" t="s">
        <v>239</v>
      </c>
      <c r="J62" s="4" t="s">
        <v>85</v>
      </c>
      <c r="K62" s="4" t="s">
        <v>655</v>
      </c>
      <c r="L62" s="17" t="s">
        <v>656</v>
      </c>
      <c r="M62" s="4" t="s">
        <v>85</v>
      </c>
      <c r="N62" s="5">
        <v>6.0</v>
      </c>
      <c r="O62" s="4" t="s">
        <v>657</v>
      </c>
      <c r="P62" s="23" t="s">
        <v>113</v>
      </c>
      <c r="Q62" s="25"/>
    </row>
    <row r="63" ht="15.75" customHeight="1">
      <c r="A63" s="4" t="s">
        <v>210</v>
      </c>
      <c r="B63" s="5">
        <v>8.0</v>
      </c>
      <c r="C63" s="4" t="s">
        <v>658</v>
      </c>
      <c r="D63" s="4" t="s">
        <v>659</v>
      </c>
      <c r="E63" s="4" t="s">
        <v>660</v>
      </c>
      <c r="F63" s="17" t="s">
        <v>661</v>
      </c>
      <c r="G63" s="4" t="s">
        <v>85</v>
      </c>
      <c r="H63" s="4" t="s">
        <v>662</v>
      </c>
      <c r="I63" s="17" t="s">
        <v>663</v>
      </c>
      <c r="J63" s="4" t="s">
        <v>85</v>
      </c>
      <c r="K63" s="4" t="s">
        <v>664</v>
      </c>
      <c r="L63" s="17" t="s">
        <v>661</v>
      </c>
      <c r="M63" s="4" t="s">
        <v>85</v>
      </c>
      <c r="N63" s="5">
        <v>5.0</v>
      </c>
      <c r="O63" s="4" t="s">
        <v>665</v>
      </c>
      <c r="P63" s="23" t="s">
        <v>113</v>
      </c>
      <c r="Q63" s="25"/>
    </row>
    <row r="64" ht="15.75" customHeight="1">
      <c r="A64" s="4" t="s">
        <v>210</v>
      </c>
      <c r="B64" s="5">
        <v>8.0</v>
      </c>
      <c r="C64" s="4" t="s">
        <v>666</v>
      </c>
      <c r="D64" s="4" t="s">
        <v>667</v>
      </c>
      <c r="E64" s="4" t="s">
        <v>668</v>
      </c>
      <c r="F64" s="17" t="s">
        <v>351</v>
      </c>
      <c r="G64" s="4" t="s">
        <v>85</v>
      </c>
      <c r="H64" s="4" t="s">
        <v>669</v>
      </c>
      <c r="I64" s="17" t="s">
        <v>670</v>
      </c>
      <c r="J64" s="4" t="s">
        <v>85</v>
      </c>
      <c r="K64" s="4" t="s">
        <v>671</v>
      </c>
      <c r="L64" s="17" t="s">
        <v>351</v>
      </c>
      <c r="M64" s="4" t="s">
        <v>85</v>
      </c>
      <c r="N64" s="5">
        <v>5.0</v>
      </c>
      <c r="O64" s="4" t="s">
        <v>672</v>
      </c>
      <c r="P64" s="23" t="s">
        <v>113</v>
      </c>
      <c r="Q64" s="25"/>
    </row>
    <row r="65" ht="15.75" customHeight="1">
      <c r="A65" s="4" t="s">
        <v>219</v>
      </c>
      <c r="B65" s="5">
        <v>8.0</v>
      </c>
      <c r="C65" s="4" t="s">
        <v>673</v>
      </c>
      <c r="D65" s="4" t="s">
        <v>674</v>
      </c>
      <c r="E65" s="4" t="s">
        <v>675</v>
      </c>
      <c r="F65" s="17" t="s">
        <v>676</v>
      </c>
      <c r="G65" s="4" t="s">
        <v>677</v>
      </c>
      <c r="H65" s="4" t="s">
        <v>678</v>
      </c>
      <c r="I65" s="17" t="s">
        <v>679</v>
      </c>
      <c r="J65" s="4" t="s">
        <v>85</v>
      </c>
      <c r="K65" s="4" t="s">
        <v>680</v>
      </c>
      <c r="L65" s="17" t="s">
        <v>679</v>
      </c>
      <c r="M65" s="4" t="s">
        <v>85</v>
      </c>
      <c r="N65" s="5">
        <v>8.0</v>
      </c>
      <c r="O65" s="4" t="s">
        <v>681</v>
      </c>
      <c r="P65" s="23" t="s">
        <v>113</v>
      </c>
      <c r="Q65" s="25"/>
    </row>
    <row r="66" ht="15.75" customHeight="1">
      <c r="A66" s="4" t="s">
        <v>219</v>
      </c>
      <c r="B66" s="5">
        <v>8.0</v>
      </c>
      <c r="C66" s="4" t="s">
        <v>682</v>
      </c>
      <c r="D66" s="4" t="s">
        <v>683</v>
      </c>
      <c r="E66" s="4" t="s">
        <v>684</v>
      </c>
      <c r="F66" s="17" t="s">
        <v>685</v>
      </c>
      <c r="G66" s="4" t="s">
        <v>85</v>
      </c>
      <c r="H66" s="4" t="s">
        <v>686</v>
      </c>
      <c r="I66" s="17" t="s">
        <v>687</v>
      </c>
      <c r="J66" s="4" t="s">
        <v>85</v>
      </c>
      <c r="K66" s="4" t="s">
        <v>688</v>
      </c>
      <c r="L66" s="17" t="s">
        <v>689</v>
      </c>
      <c r="M66" s="4" t="s">
        <v>85</v>
      </c>
      <c r="N66" s="5">
        <v>8.0</v>
      </c>
      <c r="O66" s="4" t="s">
        <v>690</v>
      </c>
      <c r="P66" s="23" t="s">
        <v>113</v>
      </c>
      <c r="Q66" s="25"/>
    </row>
    <row r="67" ht="15.75" customHeight="1">
      <c r="A67" s="4" t="s">
        <v>219</v>
      </c>
      <c r="B67" s="5">
        <v>8.0</v>
      </c>
      <c r="C67" s="4" t="s">
        <v>691</v>
      </c>
      <c r="D67" s="4" t="s">
        <v>692</v>
      </c>
      <c r="E67" s="4" t="s">
        <v>693</v>
      </c>
      <c r="F67" s="17" t="s">
        <v>694</v>
      </c>
      <c r="G67" s="4" t="s">
        <v>677</v>
      </c>
      <c r="H67" s="4" t="s">
        <v>695</v>
      </c>
      <c r="I67" s="17" t="s">
        <v>696</v>
      </c>
      <c r="J67" s="4" t="s">
        <v>85</v>
      </c>
      <c r="K67" s="4" t="s">
        <v>697</v>
      </c>
      <c r="L67" s="17" t="s">
        <v>696</v>
      </c>
      <c r="M67" s="4" t="s">
        <v>85</v>
      </c>
      <c r="N67" s="5">
        <v>8.0</v>
      </c>
      <c r="O67" s="4" t="s">
        <v>698</v>
      </c>
      <c r="P67" s="23" t="s">
        <v>113</v>
      </c>
      <c r="Q67" s="25"/>
    </row>
    <row r="68" ht="15.75" customHeight="1">
      <c r="A68" s="4" t="s">
        <v>219</v>
      </c>
      <c r="B68" s="5">
        <v>8.0</v>
      </c>
      <c r="C68" s="4" t="s">
        <v>699</v>
      </c>
      <c r="D68" s="4" t="s">
        <v>700</v>
      </c>
      <c r="E68" s="4" t="s">
        <v>701</v>
      </c>
      <c r="F68" s="17" t="s">
        <v>687</v>
      </c>
      <c r="G68" s="4" t="s">
        <v>85</v>
      </c>
      <c r="H68" s="4" t="s">
        <v>702</v>
      </c>
      <c r="I68" s="17" t="s">
        <v>703</v>
      </c>
      <c r="J68" s="4" t="s">
        <v>85</v>
      </c>
      <c r="K68" s="4" t="s">
        <v>704</v>
      </c>
      <c r="L68" s="17" t="s">
        <v>689</v>
      </c>
      <c r="M68" s="4" t="s">
        <v>85</v>
      </c>
      <c r="N68" s="5">
        <v>6.0</v>
      </c>
      <c r="O68" s="4" t="s">
        <v>705</v>
      </c>
      <c r="P68" s="23" t="s">
        <v>113</v>
      </c>
      <c r="Q68" s="25"/>
    </row>
    <row r="69" ht="15.75" customHeight="1">
      <c r="A69" s="4" t="s">
        <v>219</v>
      </c>
      <c r="B69" s="5">
        <v>8.0</v>
      </c>
      <c r="C69" s="4" t="s">
        <v>706</v>
      </c>
      <c r="D69" s="4" t="s">
        <v>707</v>
      </c>
      <c r="E69" s="4" t="s">
        <v>708</v>
      </c>
      <c r="F69" s="17" t="s">
        <v>709</v>
      </c>
      <c r="G69" s="4" t="s">
        <v>85</v>
      </c>
      <c r="H69" s="4" t="s">
        <v>710</v>
      </c>
      <c r="I69" s="17" t="s">
        <v>711</v>
      </c>
      <c r="J69" s="4" t="s">
        <v>85</v>
      </c>
      <c r="K69" s="4" t="s">
        <v>712</v>
      </c>
      <c r="L69" s="17" t="s">
        <v>709</v>
      </c>
      <c r="M69" s="4" t="s">
        <v>85</v>
      </c>
      <c r="N69" s="5">
        <v>5.0</v>
      </c>
      <c r="O69" s="4" t="s">
        <v>713</v>
      </c>
      <c r="P69" s="23" t="s">
        <v>113</v>
      </c>
      <c r="Q69" s="25"/>
    </row>
    <row r="70" ht="15.75" customHeight="1">
      <c r="A70" s="4" t="s">
        <v>219</v>
      </c>
      <c r="B70" s="5">
        <v>8.0</v>
      </c>
      <c r="C70" s="4" t="s">
        <v>714</v>
      </c>
      <c r="D70" s="4" t="s">
        <v>715</v>
      </c>
      <c r="E70" s="4" t="s">
        <v>716</v>
      </c>
      <c r="F70" s="17" t="s">
        <v>717</v>
      </c>
      <c r="G70" s="4" t="s">
        <v>85</v>
      </c>
      <c r="H70" s="4" t="s">
        <v>718</v>
      </c>
      <c r="I70" s="17" t="s">
        <v>719</v>
      </c>
      <c r="J70" s="4" t="s">
        <v>85</v>
      </c>
      <c r="K70" s="4" t="s">
        <v>720</v>
      </c>
      <c r="L70" s="17" t="s">
        <v>717</v>
      </c>
      <c r="M70" s="4" t="s">
        <v>85</v>
      </c>
      <c r="N70" s="5">
        <v>6.0</v>
      </c>
      <c r="O70" s="4" t="s">
        <v>721</v>
      </c>
      <c r="P70" s="23" t="s">
        <v>113</v>
      </c>
      <c r="Q70" s="25"/>
    </row>
    <row r="71" ht="15.75" customHeight="1">
      <c r="A71" s="4" t="s">
        <v>222</v>
      </c>
      <c r="B71" s="5">
        <v>8.0</v>
      </c>
      <c r="C71" s="4" t="s">
        <v>722</v>
      </c>
      <c r="D71" s="4" t="s">
        <v>723</v>
      </c>
      <c r="E71" s="4" t="s">
        <v>724</v>
      </c>
      <c r="F71" s="17" t="s">
        <v>118</v>
      </c>
      <c r="G71" s="4" t="s">
        <v>85</v>
      </c>
      <c r="H71" s="4" t="s">
        <v>725</v>
      </c>
      <c r="I71" s="17" t="s">
        <v>511</v>
      </c>
      <c r="J71" s="4" t="s">
        <v>85</v>
      </c>
      <c r="K71" s="4" t="s">
        <v>726</v>
      </c>
      <c r="L71" s="17" t="s">
        <v>513</v>
      </c>
      <c r="M71" s="4" t="s">
        <v>85</v>
      </c>
      <c r="N71" s="5">
        <v>3.0</v>
      </c>
      <c r="O71" s="4" t="s">
        <v>727</v>
      </c>
      <c r="P71" s="23" t="s">
        <v>113</v>
      </c>
      <c r="Q71" s="25"/>
    </row>
    <row r="72" ht="15.75" customHeight="1">
      <c r="A72" s="4" t="s">
        <v>222</v>
      </c>
      <c r="B72" s="5">
        <v>8.0</v>
      </c>
      <c r="C72" s="4" t="s">
        <v>728</v>
      </c>
      <c r="D72" s="4" t="s">
        <v>729</v>
      </c>
      <c r="E72" s="4" t="s">
        <v>730</v>
      </c>
      <c r="F72" s="17" t="s">
        <v>731</v>
      </c>
      <c r="G72" s="4" t="s">
        <v>85</v>
      </c>
      <c r="H72" s="4" t="s">
        <v>732</v>
      </c>
      <c r="I72" s="17" t="s">
        <v>511</v>
      </c>
      <c r="J72" s="4" t="s">
        <v>85</v>
      </c>
      <c r="K72" s="4" t="s">
        <v>733</v>
      </c>
      <c r="L72" s="17" t="s">
        <v>513</v>
      </c>
      <c r="M72" s="4" t="s">
        <v>85</v>
      </c>
      <c r="N72" s="5">
        <v>4.0</v>
      </c>
      <c r="O72" s="4" t="s">
        <v>734</v>
      </c>
      <c r="P72" s="23" t="s">
        <v>113</v>
      </c>
      <c r="Q72" s="25"/>
    </row>
    <row r="73" ht="15.75" customHeight="1">
      <c r="A73" s="4" t="s">
        <v>222</v>
      </c>
      <c r="B73" s="5">
        <v>9.0</v>
      </c>
      <c r="C73" s="4" t="s">
        <v>735</v>
      </c>
      <c r="D73" s="4" t="s">
        <v>736</v>
      </c>
      <c r="E73" s="4" t="s">
        <v>737</v>
      </c>
      <c r="F73" s="17" t="s">
        <v>553</v>
      </c>
      <c r="G73" s="4" t="s">
        <v>85</v>
      </c>
      <c r="H73" s="4" t="s">
        <v>738</v>
      </c>
      <c r="I73" s="17" t="s">
        <v>127</v>
      </c>
      <c r="J73" s="4" t="s">
        <v>85</v>
      </c>
      <c r="K73" s="4" t="s">
        <v>739</v>
      </c>
      <c r="L73" s="17" t="s">
        <v>553</v>
      </c>
      <c r="M73" s="4" t="s">
        <v>85</v>
      </c>
      <c r="N73" s="5">
        <v>24.0</v>
      </c>
      <c r="O73" s="4" t="s">
        <v>740</v>
      </c>
      <c r="P73" s="23" t="s">
        <v>113</v>
      </c>
      <c r="Q73" s="25"/>
    </row>
    <row r="74" ht="15.75" customHeight="1">
      <c r="A74" s="4" t="s">
        <v>222</v>
      </c>
      <c r="B74" s="5">
        <v>9.0</v>
      </c>
      <c r="C74" s="4" t="s">
        <v>741</v>
      </c>
      <c r="D74" s="4" t="s">
        <v>742</v>
      </c>
      <c r="E74" s="4" t="s">
        <v>743</v>
      </c>
      <c r="F74" s="17" t="s">
        <v>118</v>
      </c>
      <c r="G74" s="4" t="s">
        <v>85</v>
      </c>
      <c r="H74" s="4" t="s">
        <v>744</v>
      </c>
      <c r="I74" s="17" t="s">
        <v>745</v>
      </c>
      <c r="J74" s="4" t="s">
        <v>85</v>
      </c>
      <c r="K74" s="4" t="s">
        <v>746</v>
      </c>
      <c r="L74" s="17" t="s">
        <v>513</v>
      </c>
      <c r="M74" s="4" t="s">
        <v>85</v>
      </c>
      <c r="N74" s="5">
        <v>10.0</v>
      </c>
      <c r="O74" s="4" t="s">
        <v>747</v>
      </c>
      <c r="P74" s="23" t="s">
        <v>113</v>
      </c>
      <c r="Q74" s="25"/>
    </row>
    <row r="75" ht="15.75" customHeight="1">
      <c r="A75" s="4" t="s">
        <v>222</v>
      </c>
      <c r="B75" s="5">
        <v>9.0</v>
      </c>
      <c r="C75" s="4" t="s">
        <v>748</v>
      </c>
      <c r="D75" s="4" t="s">
        <v>749</v>
      </c>
      <c r="E75" s="4" t="s">
        <v>750</v>
      </c>
      <c r="F75" s="17" t="s">
        <v>496</v>
      </c>
      <c r="G75" s="4" t="s">
        <v>85</v>
      </c>
      <c r="H75" s="4" t="s">
        <v>751</v>
      </c>
      <c r="I75" s="17" t="s">
        <v>494</v>
      </c>
      <c r="J75" s="4" t="s">
        <v>85</v>
      </c>
      <c r="K75" s="4" t="s">
        <v>752</v>
      </c>
      <c r="L75" s="17" t="s">
        <v>513</v>
      </c>
      <c r="M75" s="4" t="s">
        <v>85</v>
      </c>
      <c r="N75" s="5">
        <v>8.0</v>
      </c>
      <c r="O75" s="4" t="s">
        <v>753</v>
      </c>
      <c r="P75" s="23" t="s">
        <v>113</v>
      </c>
      <c r="Q75" s="25"/>
    </row>
    <row r="76" ht="15.75" customHeight="1">
      <c r="A76" s="4" t="s">
        <v>222</v>
      </c>
      <c r="B76" s="5">
        <v>9.0</v>
      </c>
      <c r="C76" s="4" t="s">
        <v>754</v>
      </c>
      <c r="D76" s="4" t="s">
        <v>755</v>
      </c>
      <c r="E76" s="4" t="s">
        <v>756</v>
      </c>
      <c r="F76" s="17" t="s">
        <v>757</v>
      </c>
      <c r="G76" s="4" t="s">
        <v>85</v>
      </c>
      <c r="H76" s="4" t="s">
        <v>758</v>
      </c>
      <c r="I76" s="17" t="s">
        <v>759</v>
      </c>
      <c r="J76" s="4" t="s">
        <v>85</v>
      </c>
      <c r="K76" s="4" t="s">
        <v>760</v>
      </c>
      <c r="L76" s="17" t="s">
        <v>371</v>
      </c>
      <c r="M76" s="4" t="s">
        <v>85</v>
      </c>
      <c r="N76" s="5">
        <v>8.0</v>
      </c>
      <c r="O76" s="4" t="s">
        <v>761</v>
      </c>
      <c r="P76" s="23" t="s">
        <v>113</v>
      </c>
      <c r="Q76" s="25"/>
    </row>
    <row r="77" ht="15.75" customHeight="1">
      <c r="A77" s="4" t="s">
        <v>222</v>
      </c>
      <c r="B77" s="5">
        <v>9.0</v>
      </c>
      <c r="C77" s="4" t="s">
        <v>762</v>
      </c>
      <c r="D77" s="4" t="s">
        <v>763</v>
      </c>
      <c r="E77" s="4" t="s">
        <v>764</v>
      </c>
      <c r="F77" s="17" t="s">
        <v>765</v>
      </c>
      <c r="G77" s="4" t="s">
        <v>85</v>
      </c>
      <c r="H77" s="4" t="s">
        <v>766</v>
      </c>
      <c r="I77" s="17" t="s">
        <v>511</v>
      </c>
      <c r="J77" s="4" t="s">
        <v>85</v>
      </c>
      <c r="K77" s="4" t="s">
        <v>767</v>
      </c>
      <c r="L77" s="17" t="s">
        <v>513</v>
      </c>
      <c r="M77" s="4" t="s">
        <v>85</v>
      </c>
      <c r="N77" s="5">
        <v>8.0</v>
      </c>
      <c r="O77" s="4" t="s">
        <v>768</v>
      </c>
      <c r="P77" s="23" t="s">
        <v>113</v>
      </c>
      <c r="Q77" s="25"/>
    </row>
    <row r="78" ht="15.75" customHeight="1">
      <c r="A78" s="4" t="s">
        <v>222</v>
      </c>
      <c r="B78" s="5">
        <v>9.0</v>
      </c>
      <c r="C78" s="4" t="s">
        <v>769</v>
      </c>
      <c r="D78" s="4" t="s">
        <v>770</v>
      </c>
      <c r="E78" s="4" t="s">
        <v>771</v>
      </c>
      <c r="F78" s="17" t="s">
        <v>772</v>
      </c>
      <c r="G78" s="4" t="s">
        <v>85</v>
      </c>
      <c r="H78" s="4" t="s">
        <v>773</v>
      </c>
      <c r="I78" s="17" t="s">
        <v>511</v>
      </c>
      <c r="J78" s="4" t="s">
        <v>85</v>
      </c>
      <c r="K78" s="4" t="s">
        <v>774</v>
      </c>
      <c r="L78" s="17" t="s">
        <v>775</v>
      </c>
      <c r="M78" s="4" t="s">
        <v>254</v>
      </c>
      <c r="N78" s="5">
        <v>7.0</v>
      </c>
      <c r="O78" s="4" t="s">
        <v>776</v>
      </c>
      <c r="P78" s="23" t="s">
        <v>113</v>
      </c>
      <c r="Q78" s="25"/>
    </row>
    <row r="79" ht="15.75" customHeight="1">
      <c r="A79" s="4" t="s">
        <v>229</v>
      </c>
      <c r="B79" s="5">
        <v>2.0</v>
      </c>
      <c r="C79" s="4" t="s">
        <v>777</v>
      </c>
      <c r="D79" s="4" t="s">
        <v>778</v>
      </c>
      <c r="E79" s="4" t="s">
        <v>779</v>
      </c>
      <c r="F79" s="17" t="s">
        <v>780</v>
      </c>
      <c r="G79" s="4" t="s">
        <v>85</v>
      </c>
      <c r="H79" s="4" t="s">
        <v>781</v>
      </c>
      <c r="I79" s="17" t="s">
        <v>703</v>
      </c>
      <c r="J79" s="4" t="s">
        <v>85</v>
      </c>
      <c r="K79" s="4" t="s">
        <v>782</v>
      </c>
      <c r="L79" s="17" t="s">
        <v>731</v>
      </c>
      <c r="M79" s="4" t="s">
        <v>85</v>
      </c>
      <c r="N79" s="5">
        <v>12.0</v>
      </c>
      <c r="O79" s="4" t="s">
        <v>783</v>
      </c>
      <c r="P79" s="23" t="s">
        <v>113</v>
      </c>
      <c r="Q79" s="25"/>
    </row>
    <row r="80" ht="15.75" customHeight="1">
      <c r="A80" s="4" t="s">
        <v>229</v>
      </c>
      <c r="B80" s="5">
        <v>3.0</v>
      </c>
      <c r="C80" s="4" t="s">
        <v>784</v>
      </c>
      <c r="D80" s="4" t="s">
        <v>785</v>
      </c>
      <c r="E80" s="4" t="s">
        <v>786</v>
      </c>
      <c r="F80" s="17" t="s">
        <v>576</v>
      </c>
      <c r="G80" s="4" t="s">
        <v>85</v>
      </c>
      <c r="H80" s="4" t="s">
        <v>787</v>
      </c>
      <c r="I80" s="4"/>
      <c r="J80" s="4" t="s">
        <v>85</v>
      </c>
      <c r="K80" s="4" t="s">
        <v>788</v>
      </c>
      <c r="L80" s="17" t="s">
        <v>789</v>
      </c>
      <c r="M80" s="4" t="s">
        <v>85</v>
      </c>
      <c r="N80" s="5">
        <v>4.0</v>
      </c>
      <c r="O80" s="4" t="s">
        <v>790</v>
      </c>
      <c r="P80" s="23" t="s">
        <v>113</v>
      </c>
      <c r="Q80" s="25"/>
    </row>
    <row r="81" ht="15.75" customHeight="1">
      <c r="A81" s="4" t="s">
        <v>229</v>
      </c>
      <c r="B81" s="5">
        <v>4.0</v>
      </c>
      <c r="C81" s="4" t="s">
        <v>791</v>
      </c>
      <c r="D81" s="4" t="s">
        <v>792</v>
      </c>
      <c r="E81" s="4" t="s">
        <v>793</v>
      </c>
      <c r="F81" s="17" t="s">
        <v>118</v>
      </c>
      <c r="G81" s="4" t="s">
        <v>85</v>
      </c>
      <c r="H81" s="4" t="s">
        <v>787</v>
      </c>
      <c r="I81" s="4"/>
      <c r="J81" s="4" t="s">
        <v>85</v>
      </c>
      <c r="K81" s="4" t="s">
        <v>794</v>
      </c>
      <c r="L81" s="17" t="s">
        <v>795</v>
      </c>
      <c r="M81" s="4" t="s">
        <v>85</v>
      </c>
      <c r="N81" s="5">
        <v>8.0</v>
      </c>
      <c r="O81" s="4" t="s">
        <v>796</v>
      </c>
      <c r="P81" s="23" t="s">
        <v>113</v>
      </c>
      <c r="Q81" s="25"/>
    </row>
    <row r="82" ht="15.75" customHeight="1">
      <c r="A82" s="4" t="s">
        <v>229</v>
      </c>
      <c r="B82" s="5">
        <v>6.0</v>
      </c>
      <c r="C82" s="4" t="s">
        <v>797</v>
      </c>
      <c r="D82" s="4" t="s">
        <v>798</v>
      </c>
      <c r="E82" s="4" t="s">
        <v>799</v>
      </c>
      <c r="F82" s="17" t="s">
        <v>709</v>
      </c>
      <c r="G82" s="4" t="s">
        <v>85</v>
      </c>
      <c r="H82" s="4" t="s">
        <v>787</v>
      </c>
      <c r="I82" s="4"/>
      <c r="J82" s="4" t="s">
        <v>85</v>
      </c>
      <c r="K82" s="4" t="s">
        <v>800</v>
      </c>
      <c r="L82" s="17" t="s">
        <v>795</v>
      </c>
      <c r="M82" s="4" t="s">
        <v>85</v>
      </c>
      <c r="N82" s="5">
        <v>6.0</v>
      </c>
      <c r="O82" s="4" t="s">
        <v>801</v>
      </c>
      <c r="P82" s="23" t="s">
        <v>113</v>
      </c>
      <c r="Q82" s="25"/>
    </row>
    <row r="83" ht="15.75" customHeight="1">
      <c r="P83" s="29"/>
    </row>
    <row r="84" ht="15.75" customHeight="1">
      <c r="P84" s="29"/>
    </row>
    <row r="85" ht="15.75" customHeight="1">
      <c r="P85" s="29"/>
    </row>
    <row r="86" ht="15.75" customHeight="1">
      <c r="P86" s="29"/>
    </row>
    <row r="87" ht="15.75" customHeight="1">
      <c r="P87" s="29"/>
    </row>
    <row r="88" ht="15.75" customHeight="1">
      <c r="P88" s="29"/>
    </row>
    <row r="89" ht="15.75" customHeight="1">
      <c r="P89" s="29"/>
    </row>
    <row r="90" ht="15.75" customHeight="1">
      <c r="P90" s="29"/>
    </row>
    <row r="91" ht="15.75" customHeight="1">
      <c r="P91" s="29"/>
    </row>
    <row r="92" ht="15.75" customHeight="1">
      <c r="P92" s="29"/>
    </row>
    <row r="93" ht="15.75" customHeight="1">
      <c r="P93" s="29"/>
    </row>
    <row r="94" ht="15.75" customHeight="1">
      <c r="P94" s="29"/>
    </row>
    <row r="95" ht="15.75" customHeight="1">
      <c r="P95" s="29"/>
    </row>
    <row r="96" ht="15.75" customHeight="1">
      <c r="P96" s="29"/>
    </row>
    <row r="97" ht="15.75" customHeight="1">
      <c r="P97" s="29"/>
    </row>
    <row r="98" ht="15.75" customHeight="1">
      <c r="P98" s="29"/>
    </row>
    <row r="99" ht="15.75" customHeight="1">
      <c r="P99" s="29"/>
    </row>
    <row r="100" ht="15.75" customHeight="1">
      <c r="P100" s="29"/>
    </row>
    <row r="101" ht="15.75" customHeight="1">
      <c r="P101" s="29"/>
    </row>
    <row r="102" ht="15.75" customHeight="1">
      <c r="P102" s="29"/>
    </row>
    <row r="103" ht="15.75" customHeight="1">
      <c r="P103" s="29"/>
    </row>
    <row r="104" ht="15.75" customHeight="1">
      <c r="P104" s="29"/>
    </row>
    <row r="105" ht="15.75" customHeight="1">
      <c r="P105" s="29"/>
    </row>
    <row r="106" ht="15.75" customHeight="1">
      <c r="P106" s="29"/>
    </row>
    <row r="107" ht="15.75" customHeight="1">
      <c r="P107" s="29"/>
    </row>
    <row r="108" ht="15.75" customHeight="1">
      <c r="P108" s="29"/>
    </row>
    <row r="109" ht="15.75" customHeight="1">
      <c r="P109" s="29"/>
    </row>
    <row r="110" ht="15.75" customHeight="1">
      <c r="P110" s="29"/>
    </row>
    <row r="111" ht="15.75" customHeight="1">
      <c r="P111" s="29"/>
    </row>
    <row r="112" ht="15.75" customHeight="1">
      <c r="P112" s="29"/>
    </row>
    <row r="113" ht="15.75" customHeight="1">
      <c r="P113" s="29"/>
    </row>
    <row r="114" ht="15.75" customHeight="1">
      <c r="P114" s="29"/>
    </row>
    <row r="115" ht="15.75" customHeight="1">
      <c r="P115" s="29"/>
    </row>
    <row r="116" ht="15.75" customHeight="1">
      <c r="P116" s="29"/>
    </row>
    <row r="117" ht="15.75" customHeight="1">
      <c r="P117" s="29"/>
    </row>
    <row r="118" ht="15.75" customHeight="1">
      <c r="P118" s="29"/>
    </row>
    <row r="119" ht="15.75" customHeight="1">
      <c r="P119" s="29"/>
    </row>
    <row r="120" ht="15.75" customHeight="1">
      <c r="P120" s="29"/>
    </row>
    <row r="121" ht="15.75" customHeight="1">
      <c r="P121" s="29"/>
    </row>
    <row r="122" ht="15.75" customHeight="1">
      <c r="P122" s="29"/>
    </row>
    <row r="123" ht="15.75" customHeight="1">
      <c r="P123" s="29"/>
    </row>
    <row r="124" ht="15.75" customHeight="1">
      <c r="P124" s="29"/>
    </row>
    <row r="125" ht="15.75" customHeight="1">
      <c r="P125" s="29"/>
    </row>
    <row r="126" ht="15.75" customHeight="1">
      <c r="P126" s="29"/>
    </row>
    <row r="127" ht="15.75" customHeight="1">
      <c r="P127" s="29"/>
    </row>
    <row r="128" ht="15.75" customHeight="1">
      <c r="P128" s="29"/>
    </row>
    <row r="129" ht="15.75" customHeight="1">
      <c r="P129" s="29"/>
    </row>
    <row r="130" ht="15.75" customHeight="1">
      <c r="P130" s="29"/>
    </row>
    <row r="131" ht="15.75" customHeight="1">
      <c r="P131" s="29"/>
    </row>
    <row r="132" ht="15.75" customHeight="1">
      <c r="P132" s="29"/>
    </row>
    <row r="133" ht="15.75" customHeight="1">
      <c r="P133" s="29"/>
    </row>
    <row r="134" ht="15.75" customHeight="1">
      <c r="P134" s="29"/>
    </row>
    <row r="135" ht="15.75" customHeight="1">
      <c r="P135" s="29"/>
    </row>
    <row r="136" ht="15.75" customHeight="1">
      <c r="P136" s="29"/>
    </row>
    <row r="137" ht="15.75" customHeight="1">
      <c r="P137" s="29"/>
    </row>
    <row r="138" ht="15.75" customHeight="1">
      <c r="P138" s="29"/>
    </row>
    <row r="139" ht="15.75" customHeight="1">
      <c r="P139" s="29"/>
    </row>
    <row r="140" ht="15.75" customHeight="1">
      <c r="P140" s="29"/>
    </row>
    <row r="141" ht="15.75" customHeight="1">
      <c r="P141" s="29"/>
    </row>
    <row r="142" ht="15.75" customHeight="1">
      <c r="P142" s="29"/>
    </row>
    <row r="143" ht="15.75" customHeight="1">
      <c r="P143" s="29"/>
    </row>
    <row r="144" ht="15.75" customHeight="1">
      <c r="P144" s="29"/>
    </row>
    <row r="145" ht="15.75" customHeight="1">
      <c r="P145" s="29"/>
    </row>
    <row r="146" ht="15.75" customHeight="1">
      <c r="P146" s="29"/>
    </row>
    <row r="147" ht="15.75" customHeight="1">
      <c r="P147" s="29"/>
    </row>
    <row r="148" ht="15.75" customHeight="1">
      <c r="P148" s="29"/>
    </row>
    <row r="149" ht="15.75" customHeight="1">
      <c r="P149" s="29"/>
    </row>
    <row r="150" ht="15.75" customHeight="1">
      <c r="P150" s="29"/>
    </row>
    <row r="151" ht="15.75" customHeight="1">
      <c r="P151" s="29"/>
    </row>
    <row r="152" ht="15.75" customHeight="1">
      <c r="P152" s="29"/>
    </row>
    <row r="153" ht="15.75" customHeight="1">
      <c r="P153" s="29"/>
    </row>
    <row r="154" ht="15.75" customHeight="1">
      <c r="P154" s="29"/>
    </row>
    <row r="155" ht="15.75" customHeight="1">
      <c r="P155" s="29"/>
    </row>
    <row r="156" ht="15.75" customHeight="1">
      <c r="P156" s="29"/>
    </row>
    <row r="157" ht="15.75" customHeight="1">
      <c r="P157" s="29"/>
    </row>
    <row r="158" ht="15.75" customHeight="1">
      <c r="P158" s="29"/>
    </row>
    <row r="159" ht="15.75" customHeight="1">
      <c r="P159" s="29"/>
    </row>
    <row r="160" ht="15.75" customHeight="1">
      <c r="P160" s="29"/>
    </row>
    <row r="161" ht="15.75" customHeight="1">
      <c r="P161" s="29"/>
    </row>
    <row r="162" ht="15.75" customHeight="1">
      <c r="P162" s="29"/>
    </row>
    <row r="163" ht="15.75" customHeight="1">
      <c r="P163" s="29"/>
    </row>
    <row r="164" ht="15.75" customHeight="1">
      <c r="P164" s="29"/>
    </row>
    <row r="165" ht="15.75" customHeight="1">
      <c r="P165" s="29"/>
    </row>
    <row r="166" ht="15.75" customHeight="1">
      <c r="P166" s="29"/>
    </row>
    <row r="167" ht="15.75" customHeight="1">
      <c r="P167" s="29"/>
    </row>
    <row r="168" ht="15.75" customHeight="1">
      <c r="P168" s="29"/>
    </row>
    <row r="169" ht="15.75" customHeight="1">
      <c r="P169" s="29"/>
    </row>
    <row r="170" ht="15.75" customHeight="1">
      <c r="P170" s="29"/>
    </row>
    <row r="171" ht="15.75" customHeight="1">
      <c r="P171" s="29"/>
    </row>
    <row r="172" ht="15.75" customHeight="1">
      <c r="P172" s="29"/>
    </row>
    <row r="173" ht="15.75" customHeight="1">
      <c r="P173" s="29"/>
    </row>
    <row r="174" ht="15.75" customHeight="1">
      <c r="P174" s="29"/>
    </row>
    <row r="175" ht="15.75" customHeight="1">
      <c r="P175" s="29"/>
    </row>
    <row r="176" ht="15.75" customHeight="1">
      <c r="P176" s="29"/>
    </row>
    <row r="177" ht="15.75" customHeight="1">
      <c r="P177" s="29"/>
    </row>
    <row r="178" ht="15.75" customHeight="1">
      <c r="P178" s="29"/>
    </row>
    <row r="179" ht="15.75" customHeight="1">
      <c r="P179" s="29"/>
    </row>
    <row r="180" ht="15.75" customHeight="1">
      <c r="P180" s="29"/>
    </row>
    <row r="181" ht="15.75" customHeight="1">
      <c r="P181" s="29"/>
    </row>
    <row r="182" ht="15.75" customHeight="1">
      <c r="P182" s="29"/>
    </row>
    <row r="183" ht="15.75" customHeight="1">
      <c r="P183" s="29"/>
    </row>
    <row r="184" ht="15.75" customHeight="1">
      <c r="P184" s="29"/>
    </row>
    <row r="185" ht="15.75" customHeight="1">
      <c r="P185" s="29"/>
    </row>
    <row r="186" ht="15.75" customHeight="1">
      <c r="P186" s="29"/>
    </row>
    <row r="187" ht="15.75" customHeight="1">
      <c r="P187" s="29"/>
    </row>
    <row r="188" ht="15.75" customHeight="1">
      <c r="P188" s="29"/>
    </row>
    <row r="189" ht="15.75" customHeight="1">
      <c r="P189" s="29"/>
    </row>
    <row r="190" ht="15.75" customHeight="1">
      <c r="P190" s="29"/>
    </row>
    <row r="191" ht="15.75" customHeight="1">
      <c r="P191" s="29"/>
    </row>
    <row r="192" ht="15.75" customHeight="1">
      <c r="P192" s="29"/>
    </row>
    <row r="193" ht="15.75" customHeight="1">
      <c r="P193" s="29"/>
    </row>
    <row r="194" ht="15.75" customHeight="1">
      <c r="P194" s="29"/>
    </row>
    <row r="195" ht="15.75" customHeight="1">
      <c r="P195" s="29"/>
    </row>
    <row r="196" ht="15.75" customHeight="1">
      <c r="P196" s="29"/>
    </row>
    <row r="197" ht="15.75" customHeight="1">
      <c r="P197" s="29"/>
    </row>
    <row r="198" ht="15.75" customHeight="1">
      <c r="P198" s="29"/>
    </row>
    <row r="199" ht="15.75" customHeight="1">
      <c r="P199" s="29"/>
    </row>
    <row r="200" ht="15.75" customHeight="1">
      <c r="P200" s="29"/>
    </row>
    <row r="201" ht="15.75" customHeight="1">
      <c r="P201" s="29"/>
    </row>
    <row r="202" ht="15.75" customHeight="1">
      <c r="P202" s="29"/>
    </row>
    <row r="203" ht="15.75" customHeight="1">
      <c r="P203" s="29"/>
    </row>
    <row r="204" ht="15.75" customHeight="1">
      <c r="P204" s="29"/>
    </row>
    <row r="205" ht="15.75" customHeight="1">
      <c r="P205" s="29"/>
    </row>
    <row r="206" ht="15.75" customHeight="1">
      <c r="P206" s="29"/>
    </row>
    <row r="207" ht="15.75" customHeight="1">
      <c r="P207" s="29"/>
    </row>
    <row r="208" ht="15.75" customHeight="1">
      <c r="P208" s="29"/>
    </row>
    <row r="209" ht="15.75" customHeight="1">
      <c r="P209" s="29"/>
    </row>
    <row r="210" ht="15.75" customHeight="1">
      <c r="P210" s="29"/>
    </row>
    <row r="211" ht="15.75" customHeight="1">
      <c r="P211" s="29"/>
    </row>
    <row r="212" ht="15.75" customHeight="1">
      <c r="P212" s="29"/>
    </row>
    <row r="213" ht="15.75" customHeight="1">
      <c r="P213" s="29"/>
    </row>
    <row r="214" ht="15.75" customHeight="1">
      <c r="P214" s="29"/>
    </row>
    <row r="215" ht="15.75" customHeight="1">
      <c r="P215" s="29"/>
    </row>
    <row r="216" ht="15.75" customHeight="1">
      <c r="P216" s="29"/>
    </row>
    <row r="217" ht="15.75" customHeight="1">
      <c r="P217" s="29"/>
    </row>
    <row r="218" ht="15.75" customHeight="1">
      <c r="P218" s="29"/>
    </row>
    <row r="219" ht="15.75" customHeight="1">
      <c r="P219" s="29"/>
    </row>
    <row r="220" ht="15.75" customHeight="1">
      <c r="P220" s="29"/>
    </row>
    <row r="221" ht="15.75" customHeight="1">
      <c r="P221" s="29"/>
    </row>
    <row r="222" ht="15.75" customHeight="1">
      <c r="P222" s="29"/>
    </row>
    <row r="223" ht="15.75" customHeight="1">
      <c r="P223" s="29"/>
    </row>
    <row r="224" ht="15.75" customHeight="1">
      <c r="P224" s="29"/>
    </row>
    <row r="225" ht="15.75" customHeight="1">
      <c r="P225" s="29"/>
    </row>
    <row r="226" ht="15.75" customHeight="1">
      <c r="P226" s="29"/>
    </row>
    <row r="227" ht="15.75" customHeight="1">
      <c r="P227" s="29"/>
    </row>
    <row r="228" ht="15.75" customHeight="1">
      <c r="P228" s="29"/>
    </row>
    <row r="229" ht="15.75" customHeight="1">
      <c r="P229" s="29"/>
    </row>
    <row r="230" ht="15.75" customHeight="1">
      <c r="P230" s="29"/>
    </row>
    <row r="231" ht="15.75" customHeight="1">
      <c r="P231" s="29"/>
    </row>
    <row r="232" ht="15.75" customHeight="1">
      <c r="P232" s="29"/>
    </row>
    <row r="233" ht="15.75" customHeight="1">
      <c r="P233" s="29"/>
    </row>
    <row r="234" ht="15.75" customHeight="1">
      <c r="P234" s="29"/>
    </row>
    <row r="235" ht="15.75" customHeight="1">
      <c r="P235" s="29"/>
    </row>
    <row r="236" ht="15.75" customHeight="1">
      <c r="P236" s="29"/>
    </row>
    <row r="237" ht="15.75" customHeight="1">
      <c r="P237" s="29"/>
    </row>
    <row r="238" ht="15.75" customHeight="1">
      <c r="P238" s="29"/>
    </row>
    <row r="239" ht="15.75" customHeight="1">
      <c r="P239" s="29"/>
    </row>
    <row r="240" ht="15.75" customHeight="1">
      <c r="P240" s="29"/>
    </row>
    <row r="241" ht="15.75" customHeight="1">
      <c r="P241" s="29"/>
    </row>
    <row r="242" ht="15.75" customHeight="1">
      <c r="P242" s="29"/>
    </row>
    <row r="243" ht="15.75" customHeight="1">
      <c r="P243" s="29"/>
    </row>
    <row r="244" ht="15.75" customHeight="1">
      <c r="P244" s="29"/>
    </row>
    <row r="245" ht="15.75" customHeight="1">
      <c r="P245" s="29"/>
    </row>
    <row r="246" ht="15.75" customHeight="1">
      <c r="P246" s="29"/>
    </row>
    <row r="247" ht="15.75" customHeight="1">
      <c r="P247" s="29"/>
    </row>
    <row r="248" ht="15.75" customHeight="1">
      <c r="P248" s="29"/>
    </row>
    <row r="249" ht="15.75" customHeight="1">
      <c r="P249" s="29"/>
    </row>
    <row r="250" ht="15.75" customHeight="1">
      <c r="P250" s="29"/>
    </row>
    <row r="251" ht="15.75" customHeight="1">
      <c r="P251" s="29"/>
    </row>
    <row r="252" ht="15.75" customHeight="1">
      <c r="P252" s="29"/>
    </row>
    <row r="253" ht="15.75" customHeight="1">
      <c r="P253" s="29"/>
    </row>
    <row r="254" ht="15.75" customHeight="1">
      <c r="P254" s="29"/>
    </row>
    <row r="255" ht="15.75" customHeight="1">
      <c r="P255" s="29"/>
    </row>
    <row r="256" ht="15.75" customHeight="1">
      <c r="P256" s="29"/>
    </row>
    <row r="257" ht="15.75" customHeight="1">
      <c r="P257" s="29"/>
    </row>
    <row r="258" ht="15.75" customHeight="1">
      <c r="P258" s="29"/>
    </row>
    <row r="259" ht="15.75" customHeight="1">
      <c r="P259" s="29"/>
    </row>
    <row r="260" ht="15.75" customHeight="1">
      <c r="P260" s="29"/>
    </row>
    <row r="261" ht="15.75" customHeight="1">
      <c r="P261" s="29"/>
    </row>
    <row r="262" ht="15.75" customHeight="1">
      <c r="P262" s="29"/>
    </row>
    <row r="263" ht="15.75" customHeight="1">
      <c r="P263" s="29"/>
    </row>
    <row r="264" ht="15.75" customHeight="1">
      <c r="P264" s="29"/>
    </row>
    <row r="265" ht="15.75" customHeight="1">
      <c r="P265" s="29"/>
    </row>
    <row r="266" ht="15.75" customHeight="1">
      <c r="P266" s="29"/>
    </row>
    <row r="267" ht="15.75" customHeight="1">
      <c r="P267" s="29"/>
    </row>
    <row r="268" ht="15.75" customHeight="1">
      <c r="P268" s="29"/>
    </row>
    <row r="269" ht="15.75" customHeight="1">
      <c r="P269" s="29"/>
    </row>
    <row r="270" ht="15.75" customHeight="1">
      <c r="P270" s="29"/>
    </row>
    <row r="271" ht="15.75" customHeight="1">
      <c r="P271" s="29"/>
    </row>
    <row r="272" ht="15.75" customHeight="1">
      <c r="P272" s="29"/>
    </row>
    <row r="273" ht="15.75" customHeight="1">
      <c r="P273" s="29"/>
    </row>
    <row r="274" ht="15.75" customHeight="1">
      <c r="P274" s="29"/>
    </row>
    <row r="275" ht="15.75" customHeight="1">
      <c r="P275" s="29"/>
    </row>
    <row r="276" ht="15.75" customHeight="1">
      <c r="P276" s="29"/>
    </row>
    <row r="277" ht="15.75" customHeight="1">
      <c r="P277" s="29"/>
    </row>
    <row r="278" ht="15.75" customHeight="1">
      <c r="P278" s="29"/>
    </row>
    <row r="279" ht="15.75" customHeight="1">
      <c r="P279" s="29"/>
    </row>
    <row r="280" ht="15.75" customHeight="1">
      <c r="P280" s="29"/>
    </row>
    <row r="281" ht="15.75" customHeight="1">
      <c r="P281" s="29"/>
    </row>
    <row r="282" ht="15.75" customHeight="1">
      <c r="P282" s="29"/>
    </row>
    <row r="283" ht="15.75" customHeight="1">
      <c r="P283" s="29"/>
    </row>
    <row r="284" ht="15.75" customHeight="1">
      <c r="P284" s="29"/>
    </row>
    <row r="285" ht="15.75" customHeight="1">
      <c r="P285" s="29"/>
    </row>
    <row r="286" ht="15.75" customHeight="1">
      <c r="P286" s="29"/>
    </row>
    <row r="287" ht="15.75" customHeight="1">
      <c r="P287" s="29"/>
    </row>
    <row r="288" ht="15.75" customHeight="1">
      <c r="P288" s="29"/>
    </row>
    <row r="289" ht="15.75" customHeight="1">
      <c r="P289" s="29"/>
    </row>
    <row r="290" ht="15.75" customHeight="1">
      <c r="P290" s="29"/>
    </row>
    <row r="291" ht="15.75" customHeight="1">
      <c r="P291" s="29"/>
    </row>
    <row r="292" ht="15.75" customHeight="1">
      <c r="P292" s="29"/>
    </row>
    <row r="293" ht="15.75" customHeight="1">
      <c r="P293" s="29"/>
    </row>
    <row r="294" ht="15.75" customHeight="1">
      <c r="P294" s="29"/>
    </row>
    <row r="295" ht="15.75" customHeight="1">
      <c r="P295" s="29"/>
    </row>
    <row r="296" ht="15.75" customHeight="1">
      <c r="P296" s="29"/>
    </row>
    <row r="297" ht="15.75" customHeight="1">
      <c r="P297" s="29"/>
    </row>
    <row r="298" ht="15.75" customHeight="1">
      <c r="P298" s="29"/>
    </row>
    <row r="299" ht="15.75" customHeight="1">
      <c r="P299" s="29"/>
    </row>
    <row r="300" ht="15.75" customHeight="1">
      <c r="P300" s="29"/>
    </row>
    <row r="301" ht="15.75" customHeight="1">
      <c r="P301" s="29"/>
    </row>
    <row r="302" ht="15.75" customHeight="1">
      <c r="P302" s="29"/>
    </row>
    <row r="303" ht="15.75" customHeight="1">
      <c r="P303" s="29"/>
    </row>
    <row r="304" ht="15.75" customHeight="1">
      <c r="P304" s="29"/>
    </row>
    <row r="305" ht="15.75" customHeight="1">
      <c r="P305" s="29"/>
    </row>
    <row r="306" ht="15.75" customHeight="1">
      <c r="P306" s="29"/>
    </row>
    <row r="307" ht="15.75" customHeight="1">
      <c r="P307" s="29"/>
    </row>
    <row r="308" ht="15.75" customHeight="1">
      <c r="P308" s="29"/>
    </row>
    <row r="309" ht="15.75" customHeight="1">
      <c r="P309" s="29"/>
    </row>
    <row r="310" ht="15.75" customHeight="1">
      <c r="P310" s="29"/>
    </row>
    <row r="311" ht="15.75" customHeight="1">
      <c r="P311" s="29"/>
    </row>
    <row r="312" ht="15.75" customHeight="1">
      <c r="P312" s="29"/>
    </row>
    <row r="313" ht="15.75" customHeight="1">
      <c r="P313" s="29"/>
    </row>
    <row r="314" ht="15.75" customHeight="1">
      <c r="P314" s="29"/>
    </row>
    <row r="315" ht="15.75" customHeight="1">
      <c r="P315" s="29"/>
    </row>
    <row r="316" ht="15.75" customHeight="1">
      <c r="P316" s="29"/>
    </row>
    <row r="317" ht="15.75" customHeight="1">
      <c r="P317" s="29"/>
    </row>
    <row r="318" ht="15.75" customHeight="1">
      <c r="P318" s="29"/>
    </row>
    <row r="319" ht="15.75" customHeight="1">
      <c r="P319" s="29"/>
    </row>
    <row r="320" ht="15.75" customHeight="1">
      <c r="P320" s="29"/>
    </row>
    <row r="321" ht="15.75" customHeight="1">
      <c r="P321" s="29"/>
    </row>
    <row r="322" ht="15.75" customHeight="1">
      <c r="P322" s="29"/>
    </row>
    <row r="323" ht="15.75" customHeight="1">
      <c r="P323" s="29"/>
    </row>
    <row r="324" ht="15.75" customHeight="1">
      <c r="P324" s="29"/>
    </row>
    <row r="325" ht="15.75" customHeight="1">
      <c r="P325" s="29"/>
    </row>
    <row r="326" ht="15.75" customHeight="1">
      <c r="P326" s="29"/>
    </row>
    <row r="327" ht="15.75" customHeight="1">
      <c r="P327" s="29"/>
    </row>
    <row r="328" ht="15.75" customHeight="1">
      <c r="P328" s="29"/>
    </row>
    <row r="329" ht="15.75" customHeight="1">
      <c r="P329" s="29"/>
    </row>
    <row r="330" ht="15.75" customHeight="1">
      <c r="P330" s="29"/>
    </row>
    <row r="331" ht="15.75" customHeight="1">
      <c r="P331" s="29"/>
    </row>
    <row r="332" ht="15.75" customHeight="1">
      <c r="P332" s="29"/>
    </row>
    <row r="333" ht="15.75" customHeight="1">
      <c r="P333" s="29"/>
    </row>
    <row r="334" ht="15.75" customHeight="1">
      <c r="P334" s="29"/>
    </row>
    <row r="335" ht="15.75" customHeight="1">
      <c r="P335" s="29"/>
    </row>
    <row r="336" ht="15.75" customHeight="1">
      <c r="P336" s="29"/>
    </row>
    <row r="337" ht="15.75" customHeight="1">
      <c r="P337" s="29"/>
    </row>
    <row r="338" ht="15.75" customHeight="1">
      <c r="P338" s="29"/>
    </row>
    <row r="339" ht="15.75" customHeight="1">
      <c r="P339" s="29"/>
    </row>
    <row r="340" ht="15.75" customHeight="1">
      <c r="P340" s="29"/>
    </row>
    <row r="341" ht="15.75" customHeight="1">
      <c r="P341" s="29"/>
    </row>
    <row r="342" ht="15.75" customHeight="1">
      <c r="P342" s="29"/>
    </row>
    <row r="343" ht="15.75" customHeight="1">
      <c r="P343" s="29"/>
    </row>
    <row r="344" ht="15.75" customHeight="1">
      <c r="P344" s="29"/>
    </row>
    <row r="345" ht="15.75" customHeight="1">
      <c r="P345" s="29"/>
    </row>
    <row r="346" ht="15.75" customHeight="1">
      <c r="P346" s="29"/>
    </row>
    <row r="347" ht="15.75" customHeight="1">
      <c r="P347" s="29"/>
    </row>
    <row r="348" ht="15.75" customHeight="1">
      <c r="P348" s="29"/>
    </row>
    <row r="349" ht="15.75" customHeight="1">
      <c r="P349" s="29"/>
    </row>
    <row r="350" ht="15.75" customHeight="1">
      <c r="P350" s="29"/>
    </row>
    <row r="351" ht="15.75" customHeight="1">
      <c r="P351" s="29"/>
    </row>
    <row r="352" ht="15.75" customHeight="1">
      <c r="P352" s="29"/>
    </row>
    <row r="353" ht="15.75" customHeight="1">
      <c r="P353" s="29"/>
    </row>
    <row r="354" ht="15.75" customHeight="1">
      <c r="P354" s="29"/>
    </row>
    <row r="355" ht="15.75" customHeight="1">
      <c r="P355" s="29"/>
    </row>
    <row r="356" ht="15.75" customHeight="1">
      <c r="P356" s="29"/>
    </row>
    <row r="357" ht="15.75" customHeight="1">
      <c r="P357" s="29"/>
    </row>
    <row r="358" ht="15.75" customHeight="1">
      <c r="P358" s="29"/>
    </row>
    <row r="359" ht="15.75" customHeight="1">
      <c r="P359" s="29"/>
    </row>
    <row r="360" ht="15.75" customHeight="1">
      <c r="P360" s="29"/>
    </row>
    <row r="361" ht="15.75" customHeight="1">
      <c r="P361" s="29"/>
    </row>
    <row r="362" ht="15.75" customHeight="1">
      <c r="P362" s="29"/>
    </row>
    <row r="363" ht="15.75" customHeight="1">
      <c r="P363" s="29"/>
    </row>
    <row r="364" ht="15.75" customHeight="1">
      <c r="P364" s="29"/>
    </row>
    <row r="365" ht="15.75" customHeight="1">
      <c r="P365" s="29"/>
    </row>
    <row r="366" ht="15.75" customHeight="1">
      <c r="P366" s="29"/>
    </row>
    <row r="367" ht="15.75" customHeight="1">
      <c r="P367" s="29"/>
    </row>
    <row r="368" ht="15.75" customHeight="1">
      <c r="P368" s="29"/>
    </row>
    <row r="369" ht="15.75" customHeight="1">
      <c r="P369" s="29"/>
    </row>
    <row r="370" ht="15.75" customHeight="1">
      <c r="P370" s="29"/>
    </row>
    <row r="371" ht="15.75" customHeight="1">
      <c r="P371" s="29"/>
    </row>
    <row r="372" ht="15.75" customHeight="1">
      <c r="P372" s="29"/>
    </row>
    <row r="373" ht="15.75" customHeight="1">
      <c r="P373" s="29"/>
    </row>
    <row r="374" ht="15.75" customHeight="1">
      <c r="P374" s="29"/>
    </row>
    <row r="375" ht="15.75" customHeight="1">
      <c r="P375" s="29"/>
    </row>
    <row r="376" ht="15.75" customHeight="1">
      <c r="P376" s="29"/>
    </row>
    <row r="377" ht="15.75" customHeight="1">
      <c r="P377" s="29"/>
    </row>
    <row r="378" ht="15.75" customHeight="1">
      <c r="P378" s="29"/>
    </row>
    <row r="379" ht="15.75" customHeight="1">
      <c r="P379" s="29"/>
    </row>
    <row r="380" ht="15.75" customHeight="1">
      <c r="P380" s="29"/>
    </row>
    <row r="381" ht="15.75" customHeight="1">
      <c r="P381" s="29"/>
    </row>
    <row r="382" ht="15.75" customHeight="1">
      <c r="P382" s="29"/>
    </row>
    <row r="383" ht="15.75" customHeight="1">
      <c r="P383" s="29"/>
    </row>
    <row r="384" ht="15.75" customHeight="1">
      <c r="P384" s="29"/>
    </row>
    <row r="385" ht="15.75" customHeight="1">
      <c r="P385" s="29"/>
    </row>
    <row r="386" ht="15.75" customHeight="1">
      <c r="P386" s="29"/>
    </row>
    <row r="387" ht="15.75" customHeight="1">
      <c r="P387" s="29"/>
    </row>
    <row r="388" ht="15.75" customHeight="1">
      <c r="P388" s="29"/>
    </row>
    <row r="389" ht="15.75" customHeight="1">
      <c r="P389" s="29"/>
    </row>
    <row r="390" ht="15.75" customHeight="1">
      <c r="P390" s="29"/>
    </row>
    <row r="391" ht="15.75" customHeight="1">
      <c r="P391" s="29"/>
    </row>
    <row r="392" ht="15.75" customHeight="1">
      <c r="P392" s="29"/>
    </row>
    <row r="393" ht="15.75" customHeight="1">
      <c r="P393" s="29"/>
    </row>
    <row r="394" ht="15.75" customHeight="1">
      <c r="P394" s="29"/>
    </row>
    <row r="395" ht="15.75" customHeight="1">
      <c r="P395" s="29"/>
    </row>
    <row r="396" ht="15.75" customHeight="1">
      <c r="P396" s="29"/>
    </row>
    <row r="397" ht="15.75" customHeight="1">
      <c r="P397" s="29"/>
    </row>
    <row r="398" ht="15.75" customHeight="1">
      <c r="P398" s="29"/>
    </row>
    <row r="399" ht="15.75" customHeight="1">
      <c r="P399" s="29"/>
    </row>
    <row r="400" ht="15.75" customHeight="1">
      <c r="P400" s="29"/>
    </row>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Q$82"/>
  <conditionalFormatting sqref="P2:P1000">
    <cfRule type="cellIs" dxfId="0" priority="1" operator="equal">
      <formula>"Done"</formula>
    </cfRule>
  </conditionalFormatting>
  <conditionalFormatting sqref="P2:P1000">
    <cfRule type="cellIs" dxfId="1" priority="2" operator="equal">
      <formula>"In progress"</formula>
    </cfRule>
  </conditionalFormatting>
  <conditionalFormatting sqref="P2:P1000">
    <cfRule type="cellIs" dxfId="2" priority="3" operator="equal">
      <formula>"Skipped"</formula>
    </cfRule>
  </conditionalFormatting>
  <dataValidations>
    <dataValidation type="list" allowBlank="1" sqref="P2:P400">
      <formula1>"Not started,In progress,Done,Skipped"</formula1>
    </dataValidation>
  </dataValidations>
  <hyperlinks>
    <hyperlink r:id="rId1" ref="F2"/>
    <hyperlink r:id="rId2" ref="I2"/>
    <hyperlink r:id="rId3" ref="L2"/>
    <hyperlink r:id="rId4" ref="F3"/>
    <hyperlink r:id="rId5" ref="I3"/>
    <hyperlink r:id="rId6" ref="L3"/>
    <hyperlink r:id="rId7" ref="F4"/>
    <hyperlink r:id="rId8" ref="I4"/>
    <hyperlink r:id="rId9" ref="L4"/>
    <hyperlink r:id="rId10" ref="F5"/>
    <hyperlink r:id="rId11" ref="I5"/>
    <hyperlink r:id="rId12" ref="L5"/>
    <hyperlink r:id="rId13" ref="F6"/>
    <hyperlink r:id="rId14" ref="I6"/>
    <hyperlink r:id="rId15" ref="L6"/>
    <hyperlink r:id="rId16" ref="F7"/>
    <hyperlink r:id="rId17" ref="I7"/>
    <hyperlink r:id="rId18" ref="L7"/>
    <hyperlink r:id="rId19" ref="F8"/>
    <hyperlink r:id="rId20" ref="I8"/>
    <hyperlink r:id="rId21" ref="L8"/>
    <hyperlink r:id="rId22" ref="F9"/>
    <hyperlink r:id="rId23" ref="I9"/>
    <hyperlink r:id="rId24" ref="L9"/>
    <hyperlink r:id="rId25" ref="F10"/>
    <hyperlink r:id="rId26" ref="I10"/>
    <hyperlink r:id="rId27" ref="L10"/>
    <hyperlink r:id="rId28" ref="F11"/>
    <hyperlink r:id="rId29" ref="I11"/>
    <hyperlink r:id="rId30" ref="L11"/>
    <hyperlink r:id="rId31" ref="F12"/>
    <hyperlink r:id="rId32" ref="I12"/>
    <hyperlink r:id="rId33" ref="L12"/>
    <hyperlink r:id="rId34" ref="F13"/>
    <hyperlink r:id="rId35" ref="I13"/>
    <hyperlink r:id="rId36" ref="L13"/>
    <hyperlink r:id="rId37" ref="F14"/>
    <hyperlink r:id="rId38" ref="I14"/>
    <hyperlink r:id="rId39" ref="L14"/>
    <hyperlink r:id="rId40" ref="F15"/>
    <hyperlink r:id="rId41" ref="I15"/>
    <hyperlink r:id="rId42" ref="L15"/>
    <hyperlink r:id="rId43" ref="F16"/>
    <hyperlink r:id="rId44" ref="I16"/>
    <hyperlink r:id="rId45" ref="L16"/>
    <hyperlink r:id="rId46" ref="F17"/>
    <hyperlink r:id="rId47" ref="I17"/>
    <hyperlink r:id="rId48" ref="L17"/>
    <hyperlink r:id="rId49" ref="F18"/>
    <hyperlink r:id="rId50" ref="I18"/>
    <hyperlink r:id="rId51" ref="L18"/>
    <hyperlink r:id="rId52" ref="F19"/>
    <hyperlink r:id="rId53" ref="I19"/>
    <hyperlink r:id="rId54" ref="L19"/>
    <hyperlink r:id="rId55" ref="F20"/>
    <hyperlink r:id="rId56" ref="I20"/>
    <hyperlink r:id="rId57" ref="L20"/>
    <hyperlink r:id="rId58" ref="F21"/>
    <hyperlink r:id="rId59" ref="I21"/>
    <hyperlink r:id="rId60" ref="L21"/>
    <hyperlink r:id="rId61" ref="F22"/>
    <hyperlink r:id="rId62" ref="I22"/>
    <hyperlink r:id="rId63" ref="L22"/>
    <hyperlink r:id="rId64" ref="F23"/>
    <hyperlink r:id="rId65" ref="I23"/>
    <hyperlink r:id="rId66" ref="L23"/>
    <hyperlink r:id="rId67" ref="F24"/>
    <hyperlink r:id="rId68" ref="I24"/>
    <hyperlink r:id="rId69" ref="L24"/>
    <hyperlink r:id="rId70" ref="F25"/>
    <hyperlink r:id="rId71" ref="I25"/>
    <hyperlink r:id="rId72" ref="L25"/>
    <hyperlink r:id="rId73" ref="F26"/>
    <hyperlink r:id="rId74" ref="I26"/>
    <hyperlink r:id="rId75" ref="L26"/>
    <hyperlink r:id="rId76" ref="F27"/>
    <hyperlink r:id="rId77" ref="I27"/>
    <hyperlink r:id="rId78" ref="L27"/>
    <hyperlink r:id="rId79" ref="F28"/>
    <hyperlink r:id="rId80" ref="I28"/>
    <hyperlink r:id="rId81" ref="L28"/>
    <hyperlink r:id="rId82" ref="F29"/>
    <hyperlink r:id="rId83" ref="I29"/>
    <hyperlink r:id="rId84" ref="L29"/>
    <hyperlink r:id="rId85" ref="F30"/>
    <hyperlink r:id="rId86" ref="I30"/>
    <hyperlink r:id="rId87" ref="L30"/>
    <hyperlink r:id="rId88" ref="F31"/>
    <hyperlink r:id="rId89" ref="I31"/>
    <hyperlink r:id="rId90" ref="L31"/>
    <hyperlink r:id="rId91" ref="F32"/>
    <hyperlink r:id="rId92" ref="I32"/>
    <hyperlink r:id="rId93" ref="L32"/>
    <hyperlink r:id="rId94" ref="F33"/>
    <hyperlink r:id="rId95" ref="I33"/>
    <hyperlink r:id="rId96" ref="L33"/>
    <hyperlink r:id="rId97" ref="F34"/>
    <hyperlink r:id="rId98" ref="I34"/>
    <hyperlink r:id="rId99" ref="L34"/>
    <hyperlink r:id="rId100" ref="F35"/>
    <hyperlink r:id="rId101" ref="I35"/>
    <hyperlink r:id="rId102" ref="L35"/>
    <hyperlink r:id="rId103" ref="F36"/>
    <hyperlink r:id="rId104" ref="I36"/>
    <hyperlink r:id="rId105" ref="L36"/>
    <hyperlink r:id="rId106" ref="F37"/>
    <hyperlink r:id="rId107" ref="I37"/>
    <hyperlink r:id="rId108" ref="L37"/>
    <hyperlink r:id="rId109" ref="F38"/>
    <hyperlink r:id="rId110" ref="I38"/>
    <hyperlink r:id="rId111" ref="L38"/>
    <hyperlink r:id="rId112" ref="F39"/>
    <hyperlink r:id="rId113" ref="I39"/>
    <hyperlink r:id="rId114" ref="L39"/>
    <hyperlink r:id="rId115" ref="F40"/>
    <hyperlink r:id="rId116" ref="I40"/>
    <hyperlink r:id="rId117" ref="L40"/>
    <hyperlink r:id="rId118" ref="F41"/>
    <hyperlink r:id="rId119" ref="I41"/>
    <hyperlink r:id="rId120" ref="L41"/>
    <hyperlink r:id="rId121" ref="F42"/>
    <hyperlink r:id="rId122" ref="I42"/>
    <hyperlink r:id="rId123" ref="L42"/>
    <hyperlink r:id="rId124" ref="F43"/>
    <hyperlink r:id="rId125" ref="I43"/>
    <hyperlink r:id="rId126" ref="L43"/>
    <hyperlink r:id="rId127" ref="F44"/>
    <hyperlink r:id="rId128" ref="I44"/>
    <hyperlink r:id="rId129" ref="L44"/>
    <hyperlink r:id="rId130" ref="F45"/>
    <hyperlink r:id="rId131" ref="I45"/>
    <hyperlink r:id="rId132" ref="L45"/>
    <hyperlink r:id="rId133" ref="F46"/>
    <hyperlink r:id="rId134" ref="I46"/>
    <hyperlink r:id="rId135" ref="L46"/>
    <hyperlink r:id="rId136" ref="F47"/>
    <hyperlink r:id="rId137" ref="I47"/>
    <hyperlink r:id="rId138" ref="L47"/>
    <hyperlink r:id="rId139" ref="F48"/>
    <hyperlink r:id="rId140" ref="I48"/>
    <hyperlink r:id="rId141" ref="L48"/>
    <hyperlink r:id="rId142" ref="F49"/>
    <hyperlink r:id="rId143" ref="I49"/>
    <hyperlink r:id="rId144" ref="L49"/>
    <hyperlink r:id="rId145" ref="F50"/>
    <hyperlink r:id="rId146" ref="I50"/>
    <hyperlink r:id="rId147" ref="L50"/>
    <hyperlink r:id="rId148" ref="F51"/>
    <hyperlink r:id="rId149" ref="I51"/>
    <hyperlink r:id="rId150" ref="L51"/>
    <hyperlink r:id="rId151" ref="F52"/>
    <hyperlink r:id="rId152" ref="I52"/>
    <hyperlink r:id="rId153" ref="L52"/>
    <hyperlink r:id="rId154" ref="F53"/>
    <hyperlink r:id="rId155" ref="I53"/>
    <hyperlink r:id="rId156" ref="L53"/>
    <hyperlink r:id="rId157" ref="F54"/>
    <hyperlink r:id="rId158" ref="I54"/>
    <hyperlink r:id="rId159" ref="L54"/>
    <hyperlink r:id="rId160" ref="F55"/>
    <hyperlink r:id="rId161" ref="I55"/>
    <hyperlink r:id="rId162" ref="L55"/>
    <hyperlink r:id="rId163" ref="F56"/>
    <hyperlink r:id="rId164" ref="I56"/>
    <hyperlink r:id="rId165" ref="L56"/>
    <hyperlink r:id="rId166" ref="F57"/>
    <hyperlink r:id="rId167" ref="I57"/>
    <hyperlink r:id="rId168" ref="L57"/>
    <hyperlink r:id="rId169" ref="F58"/>
    <hyperlink r:id="rId170" ref="I58"/>
    <hyperlink r:id="rId171" ref="L58"/>
    <hyperlink r:id="rId172" ref="F59"/>
    <hyperlink r:id="rId173" ref="I59"/>
    <hyperlink r:id="rId174" ref="L59"/>
    <hyperlink r:id="rId175" ref="F60"/>
    <hyperlink r:id="rId176" ref="I60"/>
    <hyperlink r:id="rId177" ref="L60"/>
    <hyperlink r:id="rId178" ref="F61"/>
    <hyperlink r:id="rId179" ref="I61"/>
    <hyperlink r:id="rId180" ref="L61"/>
    <hyperlink r:id="rId181" ref="F62"/>
    <hyperlink r:id="rId182" ref="I62"/>
    <hyperlink r:id="rId183" ref="L62"/>
    <hyperlink r:id="rId184" ref="F63"/>
    <hyperlink r:id="rId185" ref="I63"/>
    <hyperlink r:id="rId186" ref="L63"/>
    <hyperlink r:id="rId187" ref="F64"/>
    <hyperlink r:id="rId188" ref="I64"/>
    <hyperlink r:id="rId189" ref="L64"/>
    <hyperlink r:id="rId190" ref="F65"/>
    <hyperlink r:id="rId191" ref="I65"/>
    <hyperlink r:id="rId192" ref="L65"/>
    <hyperlink r:id="rId193" ref="F66"/>
    <hyperlink r:id="rId194" ref="I66"/>
    <hyperlink r:id="rId195" ref="L66"/>
    <hyperlink r:id="rId196" ref="F67"/>
    <hyperlink r:id="rId197" ref="I67"/>
    <hyperlink r:id="rId198" ref="L67"/>
    <hyperlink r:id="rId199" ref="F68"/>
    <hyperlink r:id="rId200" ref="I68"/>
    <hyperlink r:id="rId201" ref="L68"/>
    <hyperlink r:id="rId202" ref="F69"/>
    <hyperlink r:id="rId203" ref="I69"/>
    <hyperlink r:id="rId204" ref="L69"/>
    <hyperlink r:id="rId205" ref="F70"/>
    <hyperlink r:id="rId206" ref="I70"/>
    <hyperlink r:id="rId207" ref="L70"/>
    <hyperlink r:id="rId208" ref="F71"/>
    <hyperlink r:id="rId209" ref="I71"/>
    <hyperlink r:id="rId210" ref="L71"/>
    <hyperlink r:id="rId211" ref="F72"/>
    <hyperlink r:id="rId212" ref="I72"/>
    <hyperlink r:id="rId213" ref="L72"/>
    <hyperlink r:id="rId214" ref="F73"/>
    <hyperlink r:id="rId215" ref="I73"/>
    <hyperlink r:id="rId216" ref="L73"/>
    <hyperlink r:id="rId217" ref="F74"/>
    <hyperlink r:id="rId218" ref="I74"/>
    <hyperlink r:id="rId219" ref="L74"/>
    <hyperlink r:id="rId220" ref="F75"/>
    <hyperlink r:id="rId221" ref="I75"/>
    <hyperlink r:id="rId222" ref="L75"/>
    <hyperlink r:id="rId223" ref="F76"/>
    <hyperlink r:id="rId224" ref="I76"/>
    <hyperlink r:id="rId225" ref="L76"/>
    <hyperlink r:id="rId226" ref="F77"/>
    <hyperlink r:id="rId227" ref="I77"/>
    <hyperlink r:id="rId228" ref="L77"/>
    <hyperlink r:id="rId229" ref="F78"/>
    <hyperlink r:id="rId230" ref="I78"/>
    <hyperlink r:id="rId231" ref="L78"/>
    <hyperlink r:id="rId232" ref="F79"/>
    <hyperlink r:id="rId233" ref="I79"/>
    <hyperlink r:id="rId234" ref="L79"/>
    <hyperlink r:id="rId235" ref="F80"/>
    <hyperlink r:id="rId236" ref="L80"/>
    <hyperlink r:id="rId237" ref="F81"/>
    <hyperlink r:id="rId238" ref="L81"/>
    <hyperlink r:id="rId239" ref="F82"/>
    <hyperlink r:id="rId240" ref="L82"/>
  </hyperlinks>
  <printOptions/>
  <pageMargins bottom="1.0" footer="0.0" header="0.0" left="0.75" right="0.75" top="1.0"/>
  <pageSetup paperSize="9" orientation="portrait"/>
  <drawing r:id="rId2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0"/>
    <col customWidth="1" min="2" max="3" width="10.0"/>
    <col customWidth="1" min="4" max="4" width="8.0"/>
    <col customWidth="1" min="5" max="5" width="48.0"/>
    <col customWidth="1" min="6" max="6" width="46.0"/>
    <col customWidth="1" min="7" max="8" width="10.0"/>
    <col customWidth="1" min="9" max="9" width="12.0"/>
    <col customWidth="1" min="10" max="26" width="8.71"/>
  </cols>
  <sheetData>
    <row r="1">
      <c r="A1" s="2" t="s">
        <v>2</v>
      </c>
      <c r="B1" s="2" t="s">
        <v>6</v>
      </c>
      <c r="C1" s="2" t="s">
        <v>8</v>
      </c>
      <c r="D1" s="2" t="s">
        <v>3</v>
      </c>
      <c r="E1" s="2" t="s">
        <v>12</v>
      </c>
      <c r="F1" s="2" t="s">
        <v>14</v>
      </c>
      <c r="G1" s="2" t="s">
        <v>16</v>
      </c>
      <c r="H1" s="2" t="s">
        <v>18</v>
      </c>
      <c r="I1" s="2" t="s">
        <v>21</v>
      </c>
      <c r="J1" s="3"/>
      <c r="K1" s="3"/>
      <c r="L1" s="3"/>
      <c r="M1" s="3"/>
      <c r="N1" s="3"/>
      <c r="O1" s="3"/>
      <c r="P1" s="3"/>
      <c r="Q1" s="3"/>
      <c r="R1" s="3"/>
      <c r="S1" s="3"/>
      <c r="T1" s="3"/>
      <c r="U1" s="3"/>
      <c r="V1" s="3"/>
      <c r="W1" s="3"/>
      <c r="X1" s="3"/>
      <c r="Y1" s="3"/>
      <c r="Z1" s="3"/>
    </row>
    <row r="2">
      <c r="A2" s="4" t="s">
        <v>27</v>
      </c>
      <c r="B2" s="5">
        <v>3.0</v>
      </c>
      <c r="C2" s="5">
        <v>1.0</v>
      </c>
      <c r="D2" s="5">
        <v>8.0</v>
      </c>
      <c r="E2" s="4" t="s">
        <v>33</v>
      </c>
      <c r="F2" s="4" t="s">
        <v>34</v>
      </c>
      <c r="G2" s="8">
        <v>0.0</v>
      </c>
      <c r="H2" s="5">
        <f t="shared" ref="H2:H12" si="1">MAX(B2-G2,0)</f>
        <v>3</v>
      </c>
      <c r="I2" s="5">
        <f t="shared" ref="I2:I12" si="2">H2*C2</f>
        <v>3</v>
      </c>
      <c r="J2" s="3"/>
      <c r="K2" s="3"/>
      <c r="L2" s="3"/>
      <c r="M2" s="3"/>
      <c r="N2" s="3"/>
      <c r="O2" s="3"/>
      <c r="P2" s="3"/>
      <c r="Q2" s="3"/>
      <c r="R2" s="3"/>
      <c r="S2" s="3"/>
      <c r="T2" s="3"/>
      <c r="U2" s="3"/>
      <c r="V2" s="3"/>
      <c r="W2" s="3"/>
      <c r="X2" s="3"/>
      <c r="Y2" s="3"/>
      <c r="Z2" s="3"/>
    </row>
    <row r="3">
      <c r="A3" s="4" t="s">
        <v>45</v>
      </c>
      <c r="B3" s="5">
        <v>2.0</v>
      </c>
      <c r="C3" s="5">
        <v>1.0</v>
      </c>
      <c r="D3" s="5">
        <v>8.0</v>
      </c>
      <c r="E3" s="4" t="s">
        <v>46</v>
      </c>
      <c r="F3" s="4" t="s">
        <v>47</v>
      </c>
      <c r="G3" s="8">
        <v>0.0</v>
      </c>
      <c r="H3" s="5">
        <f t="shared" si="1"/>
        <v>2</v>
      </c>
      <c r="I3" s="5">
        <f t="shared" si="2"/>
        <v>2</v>
      </c>
      <c r="J3" s="3"/>
      <c r="K3" s="3"/>
      <c r="L3" s="3"/>
      <c r="M3" s="3"/>
      <c r="N3" s="3"/>
      <c r="O3" s="3"/>
      <c r="P3" s="3"/>
      <c r="Q3" s="3"/>
      <c r="R3" s="3"/>
      <c r="S3" s="3"/>
      <c r="T3" s="3"/>
      <c r="U3" s="3"/>
      <c r="V3" s="3"/>
      <c r="W3" s="3"/>
      <c r="X3" s="3"/>
      <c r="Y3" s="3"/>
      <c r="Z3" s="3"/>
    </row>
    <row r="4">
      <c r="A4" s="4" t="s">
        <v>49</v>
      </c>
      <c r="B4" s="5">
        <v>4.0</v>
      </c>
      <c r="C4" s="5">
        <v>6.0</v>
      </c>
      <c r="D4" s="5">
        <v>9.0</v>
      </c>
      <c r="E4" s="4" t="s">
        <v>50</v>
      </c>
      <c r="F4" s="4" t="s">
        <v>51</v>
      </c>
      <c r="G4" s="8">
        <v>0.0</v>
      </c>
      <c r="H4" s="5">
        <f t="shared" si="1"/>
        <v>4</v>
      </c>
      <c r="I4" s="5">
        <f t="shared" si="2"/>
        <v>24</v>
      </c>
      <c r="J4" s="3"/>
      <c r="K4" s="3"/>
      <c r="L4" s="3"/>
      <c r="M4" s="3"/>
      <c r="N4" s="3"/>
      <c r="O4" s="3"/>
      <c r="P4" s="3"/>
      <c r="Q4" s="3"/>
      <c r="R4" s="3"/>
      <c r="S4" s="3"/>
      <c r="T4" s="3"/>
      <c r="U4" s="3"/>
      <c r="V4" s="3"/>
      <c r="W4" s="3"/>
      <c r="X4" s="3"/>
      <c r="Y4" s="3"/>
      <c r="Z4" s="3"/>
    </row>
    <row r="5">
      <c r="A5" s="4" t="s">
        <v>53</v>
      </c>
      <c r="B5" s="5">
        <v>10.0</v>
      </c>
      <c r="C5" s="5">
        <v>1.0</v>
      </c>
      <c r="D5" s="5">
        <v>9.0</v>
      </c>
      <c r="E5" s="4" t="s">
        <v>54</v>
      </c>
      <c r="F5" s="4" t="s">
        <v>55</v>
      </c>
      <c r="G5" s="8">
        <v>0.0</v>
      </c>
      <c r="H5" s="5">
        <f t="shared" si="1"/>
        <v>10</v>
      </c>
      <c r="I5" s="5">
        <f t="shared" si="2"/>
        <v>10</v>
      </c>
      <c r="J5" s="3"/>
      <c r="K5" s="3"/>
      <c r="L5" s="3"/>
      <c r="M5" s="3"/>
      <c r="N5" s="3"/>
      <c r="O5" s="3"/>
      <c r="P5" s="3"/>
      <c r="Q5" s="3"/>
      <c r="R5" s="3"/>
      <c r="S5" s="3"/>
      <c r="T5" s="3"/>
      <c r="U5" s="3"/>
      <c r="V5" s="3"/>
      <c r="W5" s="3"/>
      <c r="X5" s="3"/>
      <c r="Y5" s="3"/>
      <c r="Z5" s="3"/>
    </row>
    <row r="6">
      <c r="A6" s="4" t="s">
        <v>57</v>
      </c>
      <c r="B6" s="5">
        <v>6.0</v>
      </c>
      <c r="C6" s="5">
        <v>1.5</v>
      </c>
      <c r="D6" s="5">
        <v>6.0</v>
      </c>
      <c r="E6" s="4" t="s">
        <v>58</v>
      </c>
      <c r="F6" s="4" t="s">
        <v>59</v>
      </c>
      <c r="G6" s="8">
        <v>0.0</v>
      </c>
      <c r="H6" s="5">
        <f t="shared" si="1"/>
        <v>6</v>
      </c>
      <c r="I6" s="5">
        <f t="shared" si="2"/>
        <v>9</v>
      </c>
      <c r="J6" s="3"/>
      <c r="K6" s="3"/>
      <c r="L6" s="3"/>
      <c r="M6" s="3"/>
      <c r="N6" s="3"/>
      <c r="O6" s="3"/>
      <c r="P6" s="3"/>
      <c r="Q6" s="3"/>
      <c r="R6" s="3"/>
      <c r="S6" s="3"/>
      <c r="T6" s="3"/>
      <c r="U6" s="3"/>
      <c r="V6" s="3"/>
      <c r="W6" s="3"/>
      <c r="X6" s="3"/>
      <c r="Y6" s="3"/>
      <c r="Z6" s="3"/>
    </row>
    <row r="7">
      <c r="A7" s="4" t="s">
        <v>61</v>
      </c>
      <c r="B7" s="5">
        <v>4.0</v>
      </c>
      <c r="C7" s="5">
        <v>2.0</v>
      </c>
      <c r="D7" s="5">
        <v>9.0</v>
      </c>
      <c r="E7" s="4" t="s">
        <v>62</v>
      </c>
      <c r="F7" s="4" t="s">
        <v>63</v>
      </c>
      <c r="G7" s="8">
        <v>0.0</v>
      </c>
      <c r="H7" s="5">
        <f t="shared" si="1"/>
        <v>4</v>
      </c>
      <c r="I7" s="5">
        <f t="shared" si="2"/>
        <v>8</v>
      </c>
      <c r="J7" s="3"/>
      <c r="K7" s="3"/>
      <c r="L7" s="3"/>
      <c r="M7" s="3"/>
      <c r="N7" s="3"/>
      <c r="O7" s="3"/>
      <c r="P7" s="3"/>
      <c r="Q7" s="3"/>
      <c r="R7" s="3"/>
      <c r="S7" s="3"/>
      <c r="T7" s="3"/>
      <c r="U7" s="3"/>
      <c r="V7" s="3"/>
      <c r="W7" s="3"/>
      <c r="X7" s="3"/>
      <c r="Y7" s="3"/>
      <c r="Z7" s="3"/>
    </row>
    <row r="8">
      <c r="A8" s="4" t="s">
        <v>65</v>
      </c>
      <c r="B8" s="5">
        <v>8.0</v>
      </c>
      <c r="C8" s="5">
        <v>1.0</v>
      </c>
      <c r="D8" s="5">
        <v>9.0</v>
      </c>
      <c r="E8" s="4" t="s">
        <v>66</v>
      </c>
      <c r="F8" s="4" t="s">
        <v>67</v>
      </c>
      <c r="G8" s="8">
        <v>0.0</v>
      </c>
      <c r="H8" s="5">
        <f t="shared" si="1"/>
        <v>8</v>
      </c>
      <c r="I8" s="5">
        <f t="shared" si="2"/>
        <v>8</v>
      </c>
      <c r="J8" s="3"/>
      <c r="K8" s="3"/>
      <c r="L8" s="3"/>
      <c r="M8" s="3"/>
      <c r="N8" s="3"/>
      <c r="O8" s="3"/>
      <c r="P8" s="3"/>
      <c r="Q8" s="3"/>
      <c r="R8" s="3"/>
      <c r="S8" s="3"/>
      <c r="T8" s="3"/>
      <c r="U8" s="3"/>
      <c r="V8" s="3"/>
      <c r="W8" s="3"/>
      <c r="X8" s="3"/>
      <c r="Y8" s="3"/>
      <c r="Z8" s="3"/>
    </row>
    <row r="9">
      <c r="A9" s="4" t="s">
        <v>68</v>
      </c>
      <c r="B9" s="5">
        <v>4.0</v>
      </c>
      <c r="C9" s="5">
        <v>1.0</v>
      </c>
      <c r="D9" s="5">
        <v>9.0</v>
      </c>
      <c r="E9" s="4" t="s">
        <v>70</v>
      </c>
      <c r="F9" s="4" t="s">
        <v>71</v>
      </c>
      <c r="G9" s="8">
        <v>0.0</v>
      </c>
      <c r="H9" s="5">
        <f t="shared" si="1"/>
        <v>4</v>
      </c>
      <c r="I9" s="5">
        <f t="shared" si="2"/>
        <v>4</v>
      </c>
      <c r="J9" s="3"/>
      <c r="K9" s="3"/>
      <c r="L9" s="3"/>
      <c r="M9" s="3"/>
      <c r="N9" s="3"/>
      <c r="O9" s="3"/>
      <c r="P9" s="3"/>
      <c r="Q9" s="3"/>
      <c r="R9" s="3"/>
      <c r="S9" s="3"/>
      <c r="T9" s="3"/>
      <c r="U9" s="3"/>
      <c r="V9" s="3"/>
      <c r="W9" s="3"/>
      <c r="X9" s="3"/>
      <c r="Y9" s="3"/>
      <c r="Z9" s="3"/>
    </row>
    <row r="10">
      <c r="A10" s="4" t="s">
        <v>72</v>
      </c>
      <c r="B10" s="5">
        <v>4.0</v>
      </c>
      <c r="C10" s="5">
        <v>0.5</v>
      </c>
      <c r="D10" s="5">
        <v>9.0</v>
      </c>
      <c r="E10" s="4" t="s">
        <v>73</v>
      </c>
      <c r="F10" s="4" t="s">
        <v>74</v>
      </c>
      <c r="G10" s="8">
        <v>0.0</v>
      </c>
      <c r="H10" s="5">
        <f t="shared" si="1"/>
        <v>4</v>
      </c>
      <c r="I10" s="5">
        <f t="shared" si="2"/>
        <v>2</v>
      </c>
      <c r="J10" s="3"/>
      <c r="K10" s="3"/>
      <c r="L10" s="3"/>
      <c r="M10" s="3"/>
      <c r="N10" s="3"/>
      <c r="O10" s="3"/>
      <c r="P10" s="3"/>
      <c r="Q10" s="3"/>
      <c r="R10" s="3"/>
      <c r="S10" s="3"/>
      <c r="T10" s="3"/>
      <c r="U10" s="3"/>
      <c r="V10" s="3"/>
      <c r="W10" s="3"/>
      <c r="X10" s="3"/>
      <c r="Y10" s="3"/>
      <c r="Z10" s="3"/>
    </row>
    <row r="11">
      <c r="A11" s="4" t="s">
        <v>75</v>
      </c>
      <c r="B11" s="5">
        <v>10.0</v>
      </c>
      <c r="C11" s="5">
        <v>0.5</v>
      </c>
      <c r="D11" s="5">
        <v>9.0</v>
      </c>
      <c r="E11" s="4" t="s">
        <v>77</v>
      </c>
      <c r="F11" s="4" t="s">
        <v>79</v>
      </c>
      <c r="G11" s="8">
        <v>0.0</v>
      </c>
      <c r="H11" s="5">
        <f t="shared" si="1"/>
        <v>10</v>
      </c>
      <c r="I11" s="5">
        <f t="shared" si="2"/>
        <v>5</v>
      </c>
      <c r="J11" s="3"/>
      <c r="K11" s="3"/>
      <c r="L11" s="3"/>
      <c r="M11" s="3"/>
      <c r="N11" s="3"/>
      <c r="O11" s="3"/>
      <c r="P11" s="3"/>
      <c r="Q11" s="3"/>
      <c r="R11" s="3"/>
      <c r="S11" s="3"/>
      <c r="T11" s="3"/>
      <c r="U11" s="3"/>
      <c r="V11" s="3"/>
      <c r="W11" s="3"/>
      <c r="X11" s="3"/>
      <c r="Y11" s="3"/>
      <c r="Z11" s="3"/>
    </row>
    <row r="12">
      <c r="A12" s="4" t="s">
        <v>82</v>
      </c>
      <c r="B12" s="5">
        <v>2.0</v>
      </c>
      <c r="C12" s="5">
        <v>4.0</v>
      </c>
      <c r="D12" s="5">
        <v>9.0</v>
      </c>
      <c r="E12" s="4" t="s">
        <v>83</v>
      </c>
      <c r="F12" s="4" t="s">
        <v>84</v>
      </c>
      <c r="G12" s="8">
        <v>0.0</v>
      </c>
      <c r="H12" s="5">
        <f t="shared" si="1"/>
        <v>2</v>
      </c>
      <c r="I12" s="5">
        <f t="shared" si="2"/>
        <v>8</v>
      </c>
      <c r="J12" s="3"/>
      <c r="K12" s="3"/>
      <c r="L12" s="3"/>
      <c r="M12" s="3"/>
      <c r="N12" s="3"/>
      <c r="O12" s="3"/>
      <c r="P12" s="3"/>
      <c r="Q12" s="3"/>
      <c r="R12" s="3"/>
      <c r="S12" s="3"/>
      <c r="T12" s="3"/>
      <c r="U12" s="3"/>
      <c r="V12" s="3"/>
      <c r="W12" s="3"/>
      <c r="X12" s="3"/>
      <c r="Y12" s="3"/>
      <c r="Z12" s="3"/>
    </row>
    <row r="13">
      <c r="A13" s="9" t="s">
        <v>90</v>
      </c>
      <c r="B13" s="19">
        <f>SUM(B2:B12)</f>
        <v>57</v>
      </c>
      <c r="C13" s="3"/>
      <c r="D13" s="3"/>
      <c r="E13" s="3"/>
      <c r="F13" s="3"/>
      <c r="G13" s="19">
        <f t="shared" ref="G13:I13" si="3">SUM(G2:G12)</f>
        <v>0</v>
      </c>
      <c r="H13" s="19">
        <f t="shared" si="3"/>
        <v>57</v>
      </c>
      <c r="I13" s="18">
        <f t="shared" si="3"/>
        <v>83</v>
      </c>
      <c r="J13" s="3"/>
      <c r="K13" s="3"/>
      <c r="L13" s="3"/>
      <c r="M13" s="3"/>
      <c r="N13" s="3"/>
      <c r="O13" s="3"/>
      <c r="P13" s="3"/>
      <c r="Q13" s="3"/>
      <c r="R13" s="3"/>
      <c r="S13" s="3"/>
      <c r="T13" s="3"/>
      <c r="U13" s="3"/>
      <c r="V13" s="3"/>
      <c r="W13" s="3"/>
      <c r="X13" s="3"/>
      <c r="Y13" s="3"/>
      <c r="Z13" s="3"/>
    </row>
    <row r="14">
      <c r="A14" s="20" t="s">
        <v>98</v>
      </c>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2.0"/>
    <col customWidth="1" min="2" max="2" width="70.0"/>
    <col customWidth="1" min="3" max="3" width="60.0"/>
    <col customWidth="1" min="4" max="26" width="8.71"/>
  </cols>
  <sheetData>
    <row r="1">
      <c r="A1" s="7" t="s">
        <v>32</v>
      </c>
      <c r="B1" s="7" t="s">
        <v>37</v>
      </c>
      <c r="C1" s="7" t="s">
        <v>38</v>
      </c>
      <c r="D1" s="10"/>
      <c r="E1" s="10"/>
      <c r="F1" s="10"/>
      <c r="G1" s="10"/>
      <c r="H1" s="10"/>
      <c r="I1" s="10"/>
      <c r="J1" s="10"/>
      <c r="K1" s="10"/>
      <c r="L1" s="10"/>
      <c r="M1" s="10"/>
      <c r="N1" s="10"/>
      <c r="O1" s="10"/>
      <c r="P1" s="10"/>
      <c r="Q1" s="10"/>
      <c r="R1" s="10"/>
      <c r="S1" s="10"/>
      <c r="T1" s="10"/>
      <c r="U1" s="10"/>
      <c r="V1" s="10"/>
      <c r="W1" s="10"/>
      <c r="X1" s="10"/>
      <c r="Y1" s="10"/>
      <c r="Z1" s="10"/>
    </row>
    <row r="2">
      <c r="A2" s="13" t="s">
        <v>40</v>
      </c>
      <c r="B2" s="16" t="s">
        <v>41</v>
      </c>
      <c r="C2" s="13" t="s">
        <v>76</v>
      </c>
      <c r="D2" s="10"/>
      <c r="E2" s="10"/>
      <c r="F2" s="10"/>
      <c r="G2" s="10"/>
      <c r="H2" s="10"/>
      <c r="I2" s="10"/>
      <c r="J2" s="10"/>
      <c r="K2" s="10"/>
      <c r="L2" s="10"/>
      <c r="M2" s="10"/>
      <c r="N2" s="10"/>
      <c r="O2" s="10"/>
      <c r="P2" s="10"/>
      <c r="Q2" s="10"/>
      <c r="R2" s="10"/>
      <c r="S2" s="10"/>
      <c r="T2" s="10"/>
      <c r="U2" s="10"/>
      <c r="V2" s="10"/>
      <c r="W2" s="10"/>
      <c r="X2" s="10"/>
      <c r="Y2" s="10"/>
      <c r="Z2" s="10"/>
    </row>
    <row r="3">
      <c r="A3" s="13" t="s">
        <v>80</v>
      </c>
      <c r="B3" s="16" t="s">
        <v>81</v>
      </c>
      <c r="C3" s="13" t="s">
        <v>89</v>
      </c>
      <c r="D3" s="10"/>
      <c r="E3" s="10"/>
      <c r="F3" s="10"/>
      <c r="G3" s="10"/>
      <c r="H3" s="10"/>
      <c r="I3" s="10"/>
      <c r="J3" s="10"/>
      <c r="K3" s="10"/>
      <c r="L3" s="10"/>
      <c r="M3" s="10"/>
      <c r="N3" s="10"/>
      <c r="O3" s="10"/>
      <c r="P3" s="10"/>
      <c r="Q3" s="10"/>
      <c r="R3" s="10"/>
      <c r="S3" s="10"/>
      <c r="T3" s="10"/>
      <c r="U3" s="10"/>
      <c r="V3" s="10"/>
      <c r="W3" s="10"/>
      <c r="X3" s="10"/>
      <c r="Y3" s="10"/>
      <c r="Z3" s="10"/>
    </row>
    <row r="4">
      <c r="A4" s="13" t="s">
        <v>91</v>
      </c>
      <c r="B4" s="16" t="s">
        <v>92</v>
      </c>
      <c r="C4" s="13" t="s">
        <v>94</v>
      </c>
      <c r="D4" s="10"/>
      <c r="E4" s="10"/>
      <c r="F4" s="10"/>
      <c r="G4" s="10"/>
      <c r="H4" s="10"/>
      <c r="I4" s="10"/>
      <c r="J4" s="10"/>
      <c r="K4" s="10"/>
      <c r="L4" s="10"/>
      <c r="M4" s="10"/>
      <c r="N4" s="10"/>
      <c r="O4" s="10"/>
      <c r="P4" s="10"/>
      <c r="Q4" s="10"/>
      <c r="R4" s="10"/>
      <c r="S4" s="10"/>
      <c r="T4" s="10"/>
      <c r="U4" s="10"/>
      <c r="V4" s="10"/>
      <c r="W4" s="10"/>
      <c r="X4" s="10"/>
      <c r="Y4" s="10"/>
      <c r="Z4" s="10"/>
    </row>
    <row r="5">
      <c r="A5" s="13" t="s">
        <v>95</v>
      </c>
      <c r="B5" s="16" t="s">
        <v>96</v>
      </c>
      <c r="C5" s="13" t="s">
        <v>102</v>
      </c>
      <c r="D5" s="10"/>
      <c r="E5" s="10"/>
      <c r="F5" s="10"/>
      <c r="G5" s="10"/>
      <c r="H5" s="10"/>
      <c r="I5" s="10"/>
      <c r="J5" s="10"/>
      <c r="K5" s="10"/>
      <c r="L5" s="10"/>
      <c r="M5" s="10"/>
      <c r="N5" s="10"/>
      <c r="O5" s="10"/>
      <c r="P5" s="10"/>
      <c r="Q5" s="10"/>
      <c r="R5" s="10"/>
      <c r="S5" s="10"/>
      <c r="T5" s="10"/>
      <c r="U5" s="10"/>
      <c r="V5" s="10"/>
      <c r="W5" s="10"/>
      <c r="X5" s="10"/>
      <c r="Y5" s="10"/>
      <c r="Z5" s="10"/>
    </row>
    <row r="6">
      <c r="A6" s="13" t="s">
        <v>104</v>
      </c>
      <c r="B6" s="16" t="s">
        <v>105</v>
      </c>
      <c r="C6" s="13" t="s">
        <v>112</v>
      </c>
      <c r="D6" s="10"/>
      <c r="E6" s="10"/>
      <c r="F6" s="10"/>
      <c r="G6" s="10"/>
      <c r="H6" s="10"/>
      <c r="I6" s="10"/>
      <c r="J6" s="10"/>
      <c r="K6" s="10"/>
      <c r="L6" s="10"/>
      <c r="M6" s="10"/>
      <c r="N6" s="10"/>
      <c r="O6" s="10"/>
      <c r="P6" s="10"/>
      <c r="Q6" s="10"/>
      <c r="R6" s="10"/>
      <c r="S6" s="10"/>
      <c r="T6" s="10"/>
      <c r="U6" s="10"/>
      <c r="V6" s="10"/>
      <c r="W6" s="10"/>
      <c r="X6" s="10"/>
      <c r="Y6" s="10"/>
      <c r="Z6" s="10"/>
    </row>
    <row r="7">
      <c r="A7" s="13" t="s">
        <v>114</v>
      </c>
      <c r="B7" s="16" t="s">
        <v>115</v>
      </c>
      <c r="C7" s="13" t="s">
        <v>116</v>
      </c>
      <c r="D7" s="10"/>
      <c r="E7" s="10"/>
      <c r="F7" s="10"/>
      <c r="G7" s="10"/>
      <c r="H7" s="10"/>
      <c r="I7" s="10"/>
      <c r="J7" s="10"/>
      <c r="K7" s="10"/>
      <c r="L7" s="10"/>
      <c r="M7" s="10"/>
      <c r="N7" s="10"/>
      <c r="O7" s="10"/>
      <c r="P7" s="10"/>
      <c r="Q7" s="10"/>
      <c r="R7" s="10"/>
      <c r="S7" s="10"/>
      <c r="T7" s="10"/>
      <c r="U7" s="10"/>
      <c r="V7" s="10"/>
      <c r="W7" s="10"/>
      <c r="X7" s="10"/>
      <c r="Y7" s="10"/>
      <c r="Z7" s="10"/>
    </row>
    <row r="8">
      <c r="A8" s="13" t="s">
        <v>117</v>
      </c>
      <c r="B8" s="16" t="s">
        <v>118</v>
      </c>
      <c r="C8" s="13" t="s">
        <v>123</v>
      </c>
      <c r="D8" s="10"/>
      <c r="E8" s="10"/>
      <c r="F8" s="10"/>
      <c r="G8" s="10"/>
      <c r="H8" s="10"/>
      <c r="I8" s="10"/>
      <c r="J8" s="10"/>
      <c r="K8" s="10"/>
      <c r="L8" s="10"/>
      <c r="M8" s="10"/>
      <c r="N8" s="10"/>
      <c r="O8" s="10"/>
      <c r="P8" s="10"/>
      <c r="Q8" s="10"/>
      <c r="R8" s="10"/>
      <c r="S8" s="10"/>
      <c r="T8" s="10"/>
      <c r="U8" s="10"/>
      <c r="V8" s="10"/>
      <c r="W8" s="10"/>
      <c r="X8" s="10"/>
      <c r="Y8" s="10"/>
      <c r="Z8" s="10"/>
    </row>
    <row r="9">
      <c r="A9" s="13" t="s">
        <v>126</v>
      </c>
      <c r="B9" s="16" t="s">
        <v>127</v>
      </c>
      <c r="C9" s="13" t="s">
        <v>130</v>
      </c>
      <c r="D9" s="10"/>
      <c r="E9" s="10"/>
      <c r="F9" s="10"/>
      <c r="G9" s="10"/>
      <c r="H9" s="10"/>
      <c r="I9" s="10"/>
      <c r="J9" s="10"/>
      <c r="K9" s="10"/>
      <c r="L9" s="10"/>
      <c r="M9" s="10"/>
      <c r="N9" s="10"/>
      <c r="O9" s="10"/>
      <c r="P9" s="10"/>
      <c r="Q9" s="10"/>
      <c r="R9" s="10"/>
      <c r="S9" s="10"/>
      <c r="T9" s="10"/>
      <c r="U9" s="10"/>
      <c r="V9" s="10"/>
      <c r="W9" s="10"/>
      <c r="X9" s="10"/>
      <c r="Y9" s="10"/>
      <c r="Z9" s="10"/>
    </row>
    <row r="10">
      <c r="A10" s="13" t="s">
        <v>132</v>
      </c>
      <c r="B10" s="16" t="s">
        <v>135</v>
      </c>
      <c r="C10" s="13" t="s">
        <v>141</v>
      </c>
      <c r="D10" s="10"/>
      <c r="E10" s="10"/>
      <c r="F10" s="10"/>
      <c r="G10" s="10"/>
      <c r="H10" s="10"/>
      <c r="I10" s="10"/>
      <c r="J10" s="10"/>
      <c r="K10" s="10"/>
      <c r="L10" s="10"/>
      <c r="M10" s="10"/>
      <c r="N10" s="10"/>
      <c r="O10" s="10"/>
      <c r="P10" s="10"/>
      <c r="Q10" s="10"/>
      <c r="R10" s="10"/>
      <c r="S10" s="10"/>
      <c r="T10" s="10"/>
      <c r="U10" s="10"/>
      <c r="V10" s="10"/>
      <c r="W10" s="10"/>
      <c r="X10" s="10"/>
      <c r="Y10" s="10"/>
      <c r="Z10" s="10"/>
    </row>
    <row r="11">
      <c r="A11" s="13" t="s">
        <v>142</v>
      </c>
      <c r="B11" s="16" t="s">
        <v>143</v>
      </c>
      <c r="C11" s="13" t="s">
        <v>148</v>
      </c>
      <c r="D11" s="10"/>
      <c r="E11" s="10"/>
      <c r="F11" s="10"/>
      <c r="G11" s="10"/>
      <c r="H11" s="10"/>
      <c r="I11" s="10"/>
      <c r="J11" s="10"/>
      <c r="K11" s="10"/>
      <c r="L11" s="10"/>
      <c r="M11" s="10"/>
      <c r="N11" s="10"/>
      <c r="O11" s="10"/>
      <c r="P11" s="10"/>
      <c r="Q11" s="10"/>
      <c r="R11" s="10"/>
      <c r="S11" s="10"/>
      <c r="T11" s="10"/>
      <c r="U11" s="10"/>
      <c r="V11" s="10"/>
      <c r="W11" s="10"/>
      <c r="X11" s="10"/>
      <c r="Y11" s="10"/>
      <c r="Z11" s="10"/>
    </row>
    <row r="12">
      <c r="A12" s="13" t="s">
        <v>152</v>
      </c>
      <c r="B12" s="16" t="s">
        <v>154</v>
      </c>
      <c r="C12" s="13" t="s">
        <v>157</v>
      </c>
      <c r="D12" s="10"/>
      <c r="E12" s="10"/>
      <c r="F12" s="10"/>
      <c r="G12" s="10"/>
      <c r="H12" s="10"/>
      <c r="I12" s="10"/>
      <c r="J12" s="10"/>
      <c r="K12" s="10"/>
      <c r="L12" s="10"/>
      <c r="M12" s="10"/>
      <c r="N12" s="10"/>
      <c r="O12" s="10"/>
      <c r="P12" s="10"/>
      <c r="Q12" s="10"/>
      <c r="R12" s="10"/>
      <c r="S12" s="10"/>
      <c r="T12" s="10"/>
      <c r="U12" s="10"/>
      <c r="V12" s="10"/>
      <c r="W12" s="10"/>
      <c r="X12" s="10"/>
      <c r="Y12" s="10"/>
      <c r="Z12" s="10"/>
    </row>
    <row r="13">
      <c r="A13" s="13" t="s">
        <v>158</v>
      </c>
      <c r="B13" s="13"/>
      <c r="C13" s="13" t="s">
        <v>159</v>
      </c>
      <c r="D13" s="10"/>
      <c r="E13" s="10"/>
      <c r="F13" s="10"/>
      <c r="G13" s="10"/>
      <c r="H13" s="10"/>
      <c r="I13" s="10"/>
      <c r="J13" s="10"/>
      <c r="K13" s="10"/>
      <c r="L13" s="10"/>
      <c r="M13" s="10"/>
      <c r="N13" s="10"/>
      <c r="O13" s="10"/>
      <c r="P13" s="10"/>
      <c r="Q13" s="10"/>
      <c r="R13" s="10"/>
      <c r="S13" s="10"/>
      <c r="T13" s="10"/>
      <c r="U13" s="10"/>
      <c r="V13" s="10"/>
      <c r="W13" s="10"/>
      <c r="X13" s="10"/>
      <c r="Y13" s="10"/>
      <c r="Z13" s="10"/>
    </row>
    <row r="14">
      <c r="A14" s="13" t="s">
        <v>160</v>
      </c>
      <c r="B14" s="16" t="s">
        <v>161</v>
      </c>
      <c r="C14" s="13" t="s">
        <v>168</v>
      </c>
      <c r="D14" s="10"/>
      <c r="E14" s="10"/>
      <c r="F14" s="10"/>
      <c r="G14" s="10"/>
      <c r="H14" s="10"/>
      <c r="I14" s="10"/>
      <c r="J14" s="10"/>
      <c r="K14" s="10"/>
      <c r="L14" s="10"/>
      <c r="M14" s="10"/>
      <c r="N14" s="10"/>
      <c r="O14" s="10"/>
      <c r="P14" s="10"/>
      <c r="Q14" s="10"/>
      <c r="R14" s="10"/>
      <c r="S14" s="10"/>
      <c r="T14" s="10"/>
      <c r="U14" s="10"/>
      <c r="V14" s="10"/>
      <c r="W14" s="10"/>
      <c r="X14" s="10"/>
      <c r="Y14" s="10"/>
      <c r="Z14" s="10"/>
    </row>
    <row r="15">
      <c r="A15" s="13" t="s">
        <v>169</v>
      </c>
      <c r="B15" s="16" t="s">
        <v>170</v>
      </c>
      <c r="C15" s="13" t="s">
        <v>174</v>
      </c>
      <c r="D15" s="10"/>
      <c r="E15" s="10"/>
      <c r="F15" s="10"/>
      <c r="G15" s="10"/>
      <c r="H15" s="10"/>
      <c r="I15" s="10"/>
      <c r="J15" s="10"/>
      <c r="K15" s="10"/>
      <c r="L15" s="10"/>
      <c r="M15" s="10"/>
      <c r="N15" s="10"/>
      <c r="O15" s="10"/>
      <c r="P15" s="10"/>
      <c r="Q15" s="10"/>
      <c r="R15" s="10"/>
      <c r="S15" s="10"/>
      <c r="T15" s="10"/>
      <c r="U15" s="10"/>
      <c r="V15" s="10"/>
      <c r="W15" s="10"/>
      <c r="X15" s="10"/>
      <c r="Y15" s="10"/>
      <c r="Z15" s="10"/>
    </row>
    <row r="16">
      <c r="A16" s="13" t="s">
        <v>175</v>
      </c>
      <c r="B16" s="16" t="s">
        <v>176</v>
      </c>
      <c r="C16" s="13" t="s">
        <v>179</v>
      </c>
      <c r="D16" s="10"/>
      <c r="E16" s="10"/>
      <c r="F16" s="10"/>
      <c r="G16" s="10"/>
      <c r="H16" s="10"/>
      <c r="I16" s="10"/>
      <c r="J16" s="10"/>
      <c r="K16" s="10"/>
      <c r="L16" s="10"/>
      <c r="M16" s="10"/>
      <c r="N16" s="10"/>
      <c r="O16" s="10"/>
      <c r="P16" s="10"/>
      <c r="Q16" s="10"/>
      <c r="R16" s="10"/>
      <c r="S16" s="10"/>
      <c r="T16" s="10"/>
      <c r="U16" s="10"/>
      <c r="V16" s="10"/>
      <c r="W16" s="10"/>
      <c r="X16" s="10"/>
      <c r="Y16" s="10"/>
      <c r="Z16" s="10"/>
    </row>
    <row r="17">
      <c r="A17" s="13" t="s">
        <v>180</v>
      </c>
      <c r="B17" s="16" t="s">
        <v>181</v>
      </c>
      <c r="C17" s="13" t="s">
        <v>188</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4"/>
    <hyperlink r:id="rId13" ref="B15"/>
    <hyperlink r:id="rId14" ref="B16"/>
    <hyperlink r:id="rId15" ref="B17"/>
  </hyperlinks>
  <printOptions/>
  <pageMargins bottom="1.0" footer="0.0" header="0.0" left="0.75" right="0.75" top="1.0"/>
  <pageSetup paperSize="9" orientation="portrait"/>
  <drawing r:id="rId1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0"/>
    <col customWidth="1" min="2" max="2" width="52.0"/>
    <col customWidth="1" min="3" max="3" width="40.0"/>
    <col customWidth="1" min="4" max="4" width="52.0"/>
    <col customWidth="1" min="5" max="5" width="46.0"/>
    <col customWidth="1" min="6" max="26" width="8.71"/>
  </cols>
  <sheetData>
    <row r="1">
      <c r="A1" s="30" t="s">
        <v>802</v>
      </c>
      <c r="B1" s="30" t="s">
        <v>803</v>
      </c>
      <c r="C1" s="30" t="s">
        <v>804</v>
      </c>
      <c r="D1" s="30" t="s">
        <v>805</v>
      </c>
      <c r="E1" s="30" t="s">
        <v>806</v>
      </c>
      <c r="F1" s="31"/>
      <c r="G1" s="31"/>
      <c r="H1" s="31"/>
      <c r="I1" s="31"/>
      <c r="J1" s="31"/>
      <c r="K1" s="31"/>
      <c r="L1" s="31"/>
      <c r="M1" s="31"/>
      <c r="N1" s="31"/>
      <c r="O1" s="31"/>
      <c r="P1" s="31"/>
      <c r="Q1" s="31"/>
      <c r="R1" s="31"/>
      <c r="S1" s="31"/>
      <c r="T1" s="31"/>
      <c r="U1" s="31"/>
      <c r="V1" s="31"/>
      <c r="W1" s="31"/>
      <c r="X1" s="31"/>
      <c r="Y1" s="31"/>
      <c r="Z1" s="31"/>
    </row>
    <row r="2">
      <c r="A2" s="32" t="s">
        <v>807</v>
      </c>
      <c r="B2" s="32" t="s">
        <v>808</v>
      </c>
      <c r="C2" s="32" t="s">
        <v>809</v>
      </c>
      <c r="D2" s="32" t="s">
        <v>810</v>
      </c>
      <c r="E2" s="33" t="s">
        <v>811</v>
      </c>
      <c r="F2" s="31"/>
      <c r="G2" s="31"/>
      <c r="H2" s="31"/>
      <c r="I2" s="31"/>
      <c r="J2" s="31"/>
      <c r="K2" s="31"/>
      <c r="L2" s="31"/>
      <c r="M2" s="31"/>
      <c r="N2" s="31"/>
      <c r="O2" s="31"/>
      <c r="P2" s="31"/>
      <c r="Q2" s="31"/>
      <c r="R2" s="31"/>
      <c r="S2" s="31"/>
      <c r="T2" s="31"/>
      <c r="U2" s="31"/>
      <c r="V2" s="31"/>
      <c r="W2" s="31"/>
      <c r="X2" s="31"/>
      <c r="Y2" s="31"/>
      <c r="Z2" s="31"/>
    </row>
    <row r="3">
      <c r="A3" s="32" t="s">
        <v>812</v>
      </c>
      <c r="B3" s="32" t="s">
        <v>813</v>
      </c>
      <c r="C3" s="32" t="s">
        <v>814</v>
      </c>
      <c r="D3" s="32" t="s">
        <v>815</v>
      </c>
      <c r="E3" s="33" t="s">
        <v>816</v>
      </c>
      <c r="F3" s="31"/>
      <c r="G3" s="31"/>
      <c r="H3" s="31"/>
      <c r="I3" s="31"/>
      <c r="J3" s="31"/>
      <c r="K3" s="31"/>
      <c r="L3" s="31"/>
      <c r="M3" s="31"/>
      <c r="N3" s="31"/>
      <c r="O3" s="31"/>
      <c r="P3" s="31"/>
      <c r="Q3" s="31"/>
      <c r="R3" s="31"/>
      <c r="S3" s="31"/>
      <c r="T3" s="31"/>
      <c r="U3" s="31"/>
      <c r="V3" s="31"/>
      <c r="W3" s="31"/>
      <c r="X3" s="31"/>
      <c r="Y3" s="31"/>
      <c r="Z3" s="31"/>
    </row>
    <row r="4">
      <c r="A4" s="32" t="s">
        <v>817</v>
      </c>
      <c r="B4" s="32" t="s">
        <v>818</v>
      </c>
      <c r="C4" s="32" t="s">
        <v>819</v>
      </c>
      <c r="D4" s="32" t="s">
        <v>820</v>
      </c>
      <c r="E4" s="34" t="s">
        <v>821</v>
      </c>
      <c r="F4" s="31"/>
      <c r="G4" s="31"/>
      <c r="H4" s="31"/>
      <c r="I4" s="31"/>
      <c r="J4" s="31"/>
      <c r="K4" s="31"/>
      <c r="L4" s="31"/>
      <c r="M4" s="31"/>
      <c r="N4" s="31"/>
      <c r="O4" s="31"/>
      <c r="P4" s="31"/>
      <c r="Q4" s="31"/>
      <c r="R4" s="31"/>
      <c r="S4" s="31"/>
      <c r="T4" s="31"/>
      <c r="U4" s="31"/>
      <c r="V4" s="31"/>
      <c r="W4" s="31"/>
      <c r="X4" s="31"/>
      <c r="Y4" s="31"/>
      <c r="Z4" s="31"/>
    </row>
    <row r="5">
      <c r="A5" s="32" t="s">
        <v>822</v>
      </c>
      <c r="B5" s="32" t="s">
        <v>823</v>
      </c>
      <c r="C5" s="32" t="s">
        <v>824</v>
      </c>
      <c r="D5" s="32" t="s">
        <v>825</v>
      </c>
      <c r="E5" s="35" t="s">
        <v>826</v>
      </c>
      <c r="F5" s="31"/>
      <c r="G5" s="31"/>
      <c r="H5" s="31"/>
      <c r="I5" s="31"/>
      <c r="J5" s="31"/>
      <c r="K5" s="31"/>
      <c r="L5" s="31"/>
      <c r="M5" s="31"/>
      <c r="N5" s="31"/>
      <c r="O5" s="31"/>
      <c r="P5" s="31"/>
      <c r="Q5" s="31"/>
      <c r="R5" s="31"/>
      <c r="S5" s="31"/>
      <c r="T5" s="31"/>
      <c r="U5" s="31"/>
      <c r="V5" s="31"/>
      <c r="W5" s="31"/>
      <c r="X5" s="31"/>
      <c r="Y5" s="31"/>
      <c r="Z5" s="31"/>
    </row>
    <row r="6">
      <c r="A6" s="32" t="s">
        <v>827</v>
      </c>
      <c r="B6" s="32" t="s">
        <v>828</v>
      </c>
      <c r="C6" s="32" t="s">
        <v>829</v>
      </c>
      <c r="D6" s="32" t="s">
        <v>830</v>
      </c>
      <c r="E6" s="34" t="s">
        <v>831</v>
      </c>
      <c r="F6" s="31"/>
      <c r="G6" s="31"/>
      <c r="H6" s="31"/>
      <c r="I6" s="31"/>
      <c r="J6" s="31"/>
      <c r="K6" s="31"/>
      <c r="L6" s="31"/>
      <c r="M6" s="31"/>
      <c r="N6" s="31"/>
      <c r="O6" s="31"/>
      <c r="P6" s="31"/>
      <c r="Q6" s="31"/>
      <c r="R6" s="31"/>
      <c r="S6" s="31"/>
      <c r="T6" s="31"/>
      <c r="U6" s="31"/>
      <c r="V6" s="31"/>
      <c r="W6" s="31"/>
      <c r="X6" s="31"/>
      <c r="Y6" s="31"/>
      <c r="Z6" s="31"/>
    </row>
    <row r="7">
      <c r="A7" s="32" t="s">
        <v>832</v>
      </c>
      <c r="B7" s="32" t="s">
        <v>833</v>
      </c>
      <c r="C7" s="32" t="s">
        <v>834</v>
      </c>
      <c r="D7" s="32" t="s">
        <v>835</v>
      </c>
      <c r="E7" s="33" t="s">
        <v>836</v>
      </c>
      <c r="F7" s="31"/>
      <c r="G7" s="31"/>
      <c r="H7" s="31"/>
      <c r="I7" s="31"/>
      <c r="J7" s="31"/>
      <c r="K7" s="31"/>
      <c r="L7" s="31"/>
      <c r="M7" s="31"/>
      <c r="N7" s="31"/>
      <c r="O7" s="31"/>
      <c r="P7" s="31"/>
      <c r="Q7" s="31"/>
      <c r="R7" s="31"/>
      <c r="S7" s="31"/>
      <c r="T7" s="31"/>
      <c r="U7" s="31"/>
      <c r="V7" s="31"/>
      <c r="W7" s="31"/>
      <c r="X7" s="31"/>
      <c r="Y7" s="31"/>
      <c r="Z7" s="31"/>
    </row>
    <row r="8">
      <c r="A8" s="31"/>
      <c r="B8" s="31"/>
      <c r="C8" s="31"/>
      <c r="D8" s="31"/>
      <c r="E8" s="31"/>
      <c r="F8" s="31"/>
      <c r="G8" s="31"/>
      <c r="H8" s="31"/>
      <c r="I8" s="31"/>
      <c r="J8" s="31"/>
      <c r="K8" s="31"/>
      <c r="L8" s="31"/>
      <c r="M8" s="31"/>
      <c r="N8" s="31"/>
      <c r="O8" s="31"/>
      <c r="P8" s="31"/>
      <c r="Q8" s="31"/>
      <c r="R8" s="31"/>
      <c r="S8" s="31"/>
      <c r="T8" s="31"/>
      <c r="U8" s="31"/>
      <c r="V8" s="31"/>
      <c r="W8" s="31"/>
      <c r="X8" s="31"/>
      <c r="Y8" s="31"/>
      <c r="Z8" s="31"/>
    </row>
    <row r="9" ht="30.0" customHeight="1">
      <c r="A9" s="36" t="s">
        <v>837</v>
      </c>
      <c r="F9" s="31"/>
      <c r="G9" s="31"/>
      <c r="H9" s="31"/>
      <c r="I9" s="31"/>
      <c r="J9" s="31"/>
      <c r="K9" s="31"/>
      <c r="L9" s="31"/>
      <c r="M9" s="31"/>
      <c r="N9" s="31"/>
      <c r="O9" s="31"/>
      <c r="P9" s="31"/>
      <c r="Q9" s="31"/>
      <c r="R9" s="31"/>
      <c r="S9" s="31"/>
      <c r="T9" s="31"/>
      <c r="U9" s="31"/>
      <c r="V9" s="31"/>
      <c r="W9" s="31"/>
      <c r="X9" s="31"/>
      <c r="Y9" s="31"/>
      <c r="Z9" s="31"/>
    </row>
    <row r="10">
      <c r="A10" s="37"/>
      <c r="B10" s="37"/>
      <c r="C10" s="37"/>
      <c r="D10" s="37"/>
      <c r="E10" s="37"/>
      <c r="F10" s="31"/>
      <c r="G10" s="31"/>
      <c r="H10" s="31"/>
      <c r="I10" s="31"/>
      <c r="J10" s="31"/>
      <c r="K10" s="31"/>
      <c r="L10" s="31"/>
      <c r="M10" s="31"/>
      <c r="N10" s="31"/>
      <c r="O10" s="31"/>
      <c r="P10" s="31"/>
      <c r="Q10" s="31"/>
      <c r="R10" s="31"/>
      <c r="S10" s="31"/>
      <c r="T10" s="31"/>
      <c r="U10" s="31"/>
      <c r="V10" s="31"/>
      <c r="W10" s="31"/>
      <c r="X10" s="31"/>
      <c r="Y10" s="31"/>
      <c r="Z10" s="31"/>
    </row>
    <row r="1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row>
    <row r="12">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row>
    <row r="13">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row>
    <row r="14">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row>
    <row r="15">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row>
    <row r="16">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row>
    <row r="17">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row>
    <row r="18">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row>
    <row r="19">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row>
    <row r="20">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1">
    <mergeCell ref="A9:E9"/>
  </mergeCells>
  <printOptions/>
  <pageMargins bottom="1.0" footer="0.0" header="0.0" left="0.75" right="0.75" top="1.0"/>
  <pageSetup paperSize="9" orientation="portrait"/>
  <drawing r:id="rId1"/>
</worksheet>
</file>